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C:\Users\Daniel\Documents\GitHub\TimeCalc\"/>
    </mc:Choice>
  </mc:AlternateContent>
  <xr:revisionPtr revIDLastSave="0" documentId="13_ncr:1_{0F23125A-EE08-4A75-AFC5-CB92A22FC2E6}" xr6:coauthVersionLast="45" xr6:coauthVersionMax="45" xr10:uidLastSave="{00000000-0000-0000-0000-000000000000}"/>
  <bookViews>
    <workbookView xWindow="7116" yWindow="2520" windowWidth="11964" windowHeight="7680" xr2:uid="{00000000-000D-0000-FFFF-FFFF00000000}"/>
  </bookViews>
  <sheets>
    <sheet name="Config" sheetId="18" r:id="rId1"/>
    <sheet name="Work" sheetId="5" r:id="rId2"/>
    <sheet name="Timesheet" sheetId="17" r:id="rId3"/>
    <sheet name="01" sheetId="1" r:id="rId4"/>
    <sheet name="02" sheetId="2" r:id="rId5"/>
    <sheet name="03" sheetId="3" r:id="rId6"/>
    <sheet name="04" sheetId="4" r:id="rId7"/>
    <sheet name="05" sheetId="7" r:id="rId8"/>
    <sheet name="06" sheetId="9" r:id="rId9"/>
    <sheet name="07" sheetId="10" r:id="rId10"/>
    <sheet name="08" sheetId="11" r:id="rId11"/>
    <sheet name="09" sheetId="12" r:id="rId12"/>
    <sheet name="10" sheetId="13" r:id="rId13"/>
    <sheet name="11" sheetId="14" r:id="rId14"/>
    <sheet name="12" sheetId="15" r:id="rId15"/>
    <sheet name="Summary" sheetId="21" r:id="rId16"/>
    <sheet name="LogReport" sheetId="22" r:id="rId17"/>
    <sheet name="ServiceInvoice" sheetId="19" r:id="rId18"/>
    <sheet name="Contacts" sheetId="20" r:id="rId19"/>
    <sheet name="Services" sheetId="23" r:id="rId20"/>
    <sheet name="Training" sheetId="16" r:id="rId21"/>
  </sheets>
  <functionGroups builtInGroupCount="19"/>
  <definedNames>
    <definedName name="_xlnm._FilterDatabase" localSheetId="3" hidden="1">'01'!$A$2:$M$2</definedName>
    <definedName name="_xlnm._FilterDatabase" localSheetId="4" hidden="1">'02'!$A$2:$M$2</definedName>
    <definedName name="_xlnm._FilterDatabase" localSheetId="5" hidden="1">'03'!$A$2:$M$2</definedName>
    <definedName name="_xlnm._FilterDatabase" localSheetId="6" hidden="1">'04'!$A$2:$M$2</definedName>
    <definedName name="_xlnm._FilterDatabase" localSheetId="7" hidden="1">'05'!$A$2:$M$2</definedName>
    <definedName name="_xlnm._FilterDatabase" localSheetId="8" hidden="1">'06'!$A$2:$M$2</definedName>
    <definedName name="_xlnm._FilterDatabase" localSheetId="9" hidden="1">'07'!$A$2:$M$2</definedName>
    <definedName name="_xlnm._FilterDatabase" localSheetId="10" hidden="1">'08'!$A$2:$M$2</definedName>
    <definedName name="_xlnm._FilterDatabase" localSheetId="11" hidden="1">'09'!$A$2:$M$2</definedName>
    <definedName name="_xlnm._FilterDatabase" localSheetId="12" hidden="1">'10'!$A$2:$M$2</definedName>
    <definedName name="_xlnm._FilterDatabase" localSheetId="13" hidden="1">'11'!$A$2:$M$2</definedName>
    <definedName name="_xlnm._FilterDatabase" localSheetId="14" hidden="1">'12'!$A$2:$M$2</definedName>
    <definedName name="_xlnm._FilterDatabase" localSheetId="20" hidden="1">Training!$A$2:$E$6</definedName>
    <definedName name="configCommission">Config!$B$5</definedName>
    <definedName name="configHourlyRate">Config!$B$4</definedName>
    <definedName name="configInvoiceAddress">Config!$B$3</definedName>
    <definedName name="configInvoiceName">Config!$B$2</definedName>
    <definedName name="configLastInvoice">Config!$B$8</definedName>
    <definedName name="configTimeFormat">Config!$B$6</definedName>
    <definedName name="configUseProject">Config!#REF!</definedName>
    <definedName name="configUseTaskName">Config!#REF!</definedName>
    <definedName name="Contacts_Code" comment="Indirect reference to the Code data column of the Contacts table for use in data validation.">Contacts[Code]</definedName>
    <definedName name="logReportChargeFirst">LogReport!$J$6</definedName>
    <definedName name="logReportChargeLast">LogReport!$J$8</definedName>
    <definedName name="logReportFilter">LogReport!$B$4</definedName>
    <definedName name="logReportFooterRow">LogReport!$A$8</definedName>
    <definedName name="logReportHeaderRow">LogReport!$A$6</definedName>
    <definedName name="logReportMHFirst">LogReport!$I$6</definedName>
    <definedName name="logReportMHLast">LogReport!$I$8</definedName>
    <definedName name="logReportTitle">LogReport!$A$2</definedName>
    <definedName name="mth01Charge">'01'!$J$1</definedName>
    <definedName name="mth01Due">'01'!$M$1</definedName>
    <definedName name="mth01Invoiced">'01'!$K$1</definedName>
    <definedName name="mth01Received">'01'!$L$1</definedName>
    <definedName name="mth02Charge">'02'!$J$1</definedName>
    <definedName name="mth02Due">'02'!$M$1</definedName>
    <definedName name="mth02Invoiced">'02'!$K$1</definedName>
    <definedName name="mth02Received">'02'!$L$1</definedName>
    <definedName name="mth03Charge">'03'!$J$1</definedName>
    <definedName name="mth03Due">'03'!$M$1</definedName>
    <definedName name="mth03Invoiced">'03'!$K$1</definedName>
    <definedName name="mth03Received">'03'!$L$1</definedName>
    <definedName name="mth04Charge">'04'!$J$1</definedName>
    <definedName name="mth04Due">'04'!$M$1</definedName>
    <definedName name="mth04Invoiced">'04'!$K$1</definedName>
    <definedName name="mth04Received">'04'!$L$1</definedName>
    <definedName name="mth05Charge">'05'!$J$1</definedName>
    <definedName name="mth05Due">'05'!$M$1</definedName>
    <definedName name="mth05Invoiced">'05'!$K$1</definedName>
    <definedName name="mth05Received">'05'!$L$1</definedName>
    <definedName name="mth06Charge">'06'!$J$1</definedName>
    <definedName name="mth06Due">'06'!$M$1</definedName>
    <definedName name="mth06Invoiced">'06'!$K$1</definedName>
    <definedName name="mth06Received">'06'!$L$1</definedName>
    <definedName name="mth07Charge">'07'!$J$1</definedName>
    <definedName name="mth07Due">'07'!$M$1</definedName>
    <definedName name="mth07Invoiced">'07'!$K$1</definedName>
    <definedName name="mth07Received">'07'!$L$1</definedName>
    <definedName name="mth08Charge">'08'!$J$1</definedName>
    <definedName name="mth08Due">'08'!$M$1</definedName>
    <definedName name="mth08Invoiced">'08'!$K$1</definedName>
    <definedName name="mth08Received">'08'!$L$1</definedName>
    <definedName name="mth09Charge">'09'!$J$1</definedName>
    <definedName name="mth09Due">'09'!$M$1</definedName>
    <definedName name="mth09Invoiced">'09'!$K$1</definedName>
    <definedName name="mth09Received">'09'!$L$1</definedName>
    <definedName name="mth10Charge">'10'!$J$1</definedName>
    <definedName name="mth10Due">'10'!$M$1</definedName>
    <definedName name="mth10Invoiced">'10'!$K$1</definedName>
    <definedName name="mth10Received">'10'!$L$1</definedName>
    <definedName name="mth11Charge">'11'!$J$1</definedName>
    <definedName name="mth11Due">'11'!$M$1</definedName>
    <definedName name="mth11Invoiced">'11'!$K$1</definedName>
    <definedName name="mth11Received">'11'!$L$1</definedName>
    <definedName name="mth12Charge">'12'!$J$1</definedName>
    <definedName name="mth12Due">'12'!$M$1</definedName>
    <definedName name="mth12Invoiced">'12'!$K$1</definedName>
    <definedName name="mth12Received">'12'!$L$1</definedName>
    <definedName name="_xlnm.Print_Titles" localSheetId="16">LogReport!$6:$6</definedName>
    <definedName name="_xlnm.Print_Titles" localSheetId="17">ServiceInvoice!$11:$11</definedName>
    <definedName name="serviceInvoiceBillToAddress">ServiceInvoice!$A$7</definedName>
    <definedName name="serviceInvoiceBillToCityStateZip">ServiceInvoice!$A$8</definedName>
    <definedName name="serviceInvoiceBillToName">ServiceInvoice!$A$6</definedName>
    <definedName name="serviceInvoiceDate">ServiceInvoice!$J$6</definedName>
    <definedName name="serviceInvoiceDueDate">ServiceInvoice!$J$8</definedName>
    <definedName name="serviceInvoiceFooterRow">ServiceInvoice!$A$13</definedName>
    <definedName name="serviceInvoiceHeaderRow">ServiceInvoice!$A$11</definedName>
    <definedName name="serviceInvoiceNumber">ServiceInvoice!$J$5</definedName>
    <definedName name="serviceInvoiceProjectName">ServiceInvoice!$J$7</definedName>
    <definedName name="serviceInvoiceShipToAddress">ServiceInvoice!$E$7</definedName>
    <definedName name="serviceInvoiceShipToCityStateZip">ServiceInvoice!$E$8</definedName>
    <definedName name="serviceInvoiceShipToName">ServiceInvoice!$E$6</definedName>
    <definedName name="Services_CustomerService" comment="Indirect reference to the Services table, Customer and Service concatenation column for use in data validation.">Services[CustomerService]</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4" i="5" l="1"/>
  <c r="J7" i="22" l="1"/>
  <c r="J8" i="22" l="1"/>
  <c r="I8" i="22"/>
  <c r="A1" i="22"/>
  <c r="G14" i="19"/>
  <c r="C15" i="21"/>
  <c r="C14" i="21"/>
  <c r="C8" i="21"/>
  <c r="B15" i="21"/>
  <c r="B9" i="21"/>
  <c r="B6" i="21"/>
  <c r="A3" i="19"/>
  <c r="A2" i="19"/>
  <c r="J14" i="19"/>
  <c r="M1" i="9"/>
  <c r="E10" i="21" s="1"/>
  <c r="I1" i="15"/>
  <c r="I1" i="14"/>
  <c r="I1" i="13"/>
  <c r="I1" i="10"/>
  <c r="I1" i="9"/>
  <c r="I1" i="7"/>
  <c r="I1" i="4"/>
  <c r="I1" i="3"/>
  <c r="I1" i="2"/>
  <c r="I1" i="1"/>
  <c r="C1" i="16"/>
  <c r="L1" i="15"/>
  <c r="D16" i="21" s="1"/>
  <c r="K1" i="15"/>
  <c r="C16" i="21" s="1"/>
  <c r="H1" i="15"/>
  <c r="L1" i="14"/>
  <c r="D15" i="21" s="1"/>
  <c r="K1" i="14"/>
  <c r="M1" i="14" s="1"/>
  <c r="E15" i="21" s="1"/>
  <c r="J1" i="14"/>
  <c r="H1" i="14"/>
  <c r="L1" i="13"/>
  <c r="D14" i="21" s="1"/>
  <c r="K1" i="13"/>
  <c r="M1" i="13" s="1"/>
  <c r="E14" i="21" s="1"/>
  <c r="J1" i="13"/>
  <c r="B14" i="21" s="1"/>
  <c r="H1" i="13"/>
  <c r="L1" i="12"/>
  <c r="D13" i="21" s="1"/>
  <c r="L1" i="10"/>
  <c r="D11" i="21" s="1"/>
  <c r="K1" i="10"/>
  <c r="C11" i="21" s="1"/>
  <c r="J1" i="10"/>
  <c r="B11" i="21" s="1"/>
  <c r="H1" i="10"/>
  <c r="L1" i="9"/>
  <c r="D10" i="21" s="1"/>
  <c r="K1" i="9"/>
  <c r="C10" i="21" s="1"/>
  <c r="J1" i="9"/>
  <c r="B10" i="21" s="1"/>
  <c r="H1" i="9"/>
  <c r="L1" i="7"/>
  <c r="D9" i="21" s="1"/>
  <c r="K1" i="7"/>
  <c r="M1" i="7" s="1"/>
  <c r="E9" i="21" s="1"/>
  <c r="J1" i="7"/>
  <c r="H1" i="7"/>
  <c r="L1" i="4"/>
  <c r="D8" i="21" s="1"/>
  <c r="K1" i="4"/>
  <c r="M1" i="4" s="1"/>
  <c r="E8" i="21" s="1"/>
  <c r="J1" i="4"/>
  <c r="B8" i="21" s="1"/>
  <c r="H1" i="4"/>
  <c r="L1" i="3"/>
  <c r="D7" i="21" s="1"/>
  <c r="K1" i="3"/>
  <c r="C7" i="21" s="1"/>
  <c r="J1" i="3"/>
  <c r="B7" i="21" s="1"/>
  <c r="H1" i="3"/>
  <c r="L1" i="2"/>
  <c r="D6" i="21" s="1"/>
  <c r="K1" i="2"/>
  <c r="C6" i="21" s="1"/>
  <c r="J1" i="2"/>
  <c r="L1" i="1"/>
  <c r="D5" i="21" s="1"/>
  <c r="K1" i="1"/>
  <c r="C5" i="21" s="1"/>
  <c r="I370" i="17"/>
  <c r="H370" i="17"/>
  <c r="G370" i="17"/>
  <c r="F370" i="17"/>
  <c r="E370" i="17"/>
  <c r="D370" i="17"/>
  <c r="C370" i="17"/>
  <c r="I363" i="17"/>
  <c r="H363" i="17"/>
  <c r="G363" i="17"/>
  <c r="F363" i="17"/>
  <c r="E363" i="17"/>
  <c r="D363" i="17"/>
  <c r="C363" i="17"/>
  <c r="I356" i="17"/>
  <c r="H356" i="17"/>
  <c r="G356" i="17"/>
  <c r="F356" i="17"/>
  <c r="E356" i="17"/>
  <c r="D356" i="17"/>
  <c r="C356" i="17"/>
  <c r="I349" i="17"/>
  <c r="H349" i="17"/>
  <c r="G349" i="17"/>
  <c r="F349" i="17"/>
  <c r="E349" i="17"/>
  <c r="D349" i="17"/>
  <c r="C349" i="17"/>
  <c r="I342" i="17"/>
  <c r="H342" i="17"/>
  <c r="G342" i="17"/>
  <c r="F342" i="17"/>
  <c r="E342" i="17"/>
  <c r="D342" i="17"/>
  <c r="C342" i="17"/>
  <c r="I335" i="17"/>
  <c r="H335" i="17"/>
  <c r="G335" i="17"/>
  <c r="F335" i="17"/>
  <c r="E335" i="17"/>
  <c r="D335" i="17"/>
  <c r="C335" i="17"/>
  <c r="I328" i="17"/>
  <c r="H328" i="17"/>
  <c r="G328" i="17"/>
  <c r="F328" i="17"/>
  <c r="E328" i="17"/>
  <c r="D328" i="17"/>
  <c r="C328" i="17"/>
  <c r="I321" i="17"/>
  <c r="H321" i="17"/>
  <c r="G321" i="17"/>
  <c r="F321" i="17"/>
  <c r="E321" i="17"/>
  <c r="D321" i="17"/>
  <c r="C321" i="17"/>
  <c r="I314" i="17"/>
  <c r="H314" i="17"/>
  <c r="G314" i="17"/>
  <c r="F314" i="17"/>
  <c r="E314" i="17"/>
  <c r="D314" i="17"/>
  <c r="C314" i="17"/>
  <c r="I307" i="17"/>
  <c r="H307" i="17"/>
  <c r="G307" i="17"/>
  <c r="F307" i="17"/>
  <c r="E307" i="17"/>
  <c r="D307" i="17"/>
  <c r="C307" i="17"/>
  <c r="I300" i="17"/>
  <c r="H300" i="17"/>
  <c r="G300" i="17"/>
  <c r="F300" i="17"/>
  <c r="E300" i="17"/>
  <c r="D300" i="17"/>
  <c r="C300" i="17"/>
  <c r="I293" i="17"/>
  <c r="H293" i="17"/>
  <c r="G293" i="17"/>
  <c r="F293" i="17"/>
  <c r="E293" i="17"/>
  <c r="D293" i="17"/>
  <c r="C293" i="17"/>
  <c r="I286" i="17"/>
  <c r="H286" i="17"/>
  <c r="G286" i="17"/>
  <c r="F286" i="17"/>
  <c r="E286" i="17"/>
  <c r="D286" i="17"/>
  <c r="C286" i="17"/>
  <c r="I279" i="17"/>
  <c r="H279" i="17"/>
  <c r="G279" i="17"/>
  <c r="F279" i="17"/>
  <c r="E279" i="17"/>
  <c r="D279" i="17"/>
  <c r="C279" i="17"/>
  <c r="I272" i="17"/>
  <c r="H272" i="17"/>
  <c r="G272" i="17"/>
  <c r="F272" i="17"/>
  <c r="E272" i="17"/>
  <c r="D272" i="17"/>
  <c r="C272" i="17"/>
  <c r="I265" i="17"/>
  <c r="H265" i="17"/>
  <c r="G265" i="17"/>
  <c r="F265" i="17"/>
  <c r="E265" i="17"/>
  <c r="D265" i="17"/>
  <c r="C265" i="17"/>
  <c r="I258" i="17"/>
  <c r="H258" i="17"/>
  <c r="G258" i="17"/>
  <c r="F258" i="17"/>
  <c r="E258" i="17"/>
  <c r="D258" i="17"/>
  <c r="C258" i="17"/>
  <c r="I251" i="17"/>
  <c r="H251" i="17"/>
  <c r="G251" i="17"/>
  <c r="F251" i="17"/>
  <c r="E251" i="17"/>
  <c r="D251" i="17"/>
  <c r="C251" i="17"/>
  <c r="I244" i="17"/>
  <c r="H244" i="17"/>
  <c r="G244" i="17"/>
  <c r="F244" i="17"/>
  <c r="E244" i="17"/>
  <c r="D244" i="17"/>
  <c r="C244" i="17"/>
  <c r="I237" i="17"/>
  <c r="H237" i="17"/>
  <c r="G237" i="17"/>
  <c r="F237" i="17"/>
  <c r="E237" i="17"/>
  <c r="D237" i="17"/>
  <c r="C237" i="17"/>
  <c r="I230" i="17"/>
  <c r="H230" i="17"/>
  <c r="G230" i="17"/>
  <c r="F230" i="17"/>
  <c r="E230" i="17"/>
  <c r="D230" i="17"/>
  <c r="C230" i="17"/>
  <c r="I223" i="17"/>
  <c r="H223" i="17"/>
  <c r="G223" i="17"/>
  <c r="F223" i="17"/>
  <c r="E223" i="17"/>
  <c r="D223" i="17"/>
  <c r="C223" i="17"/>
  <c r="I216" i="17"/>
  <c r="H216" i="17"/>
  <c r="G216" i="17"/>
  <c r="F216" i="17"/>
  <c r="E216" i="17"/>
  <c r="D216" i="17"/>
  <c r="C216" i="17"/>
  <c r="I209" i="17"/>
  <c r="H209" i="17"/>
  <c r="G209" i="17"/>
  <c r="F209" i="17"/>
  <c r="E209" i="17"/>
  <c r="D209" i="17"/>
  <c r="C209" i="17"/>
  <c r="I202" i="17"/>
  <c r="H202" i="17"/>
  <c r="G202" i="17"/>
  <c r="F202" i="17"/>
  <c r="E202" i="17"/>
  <c r="D202" i="17"/>
  <c r="C202" i="17"/>
  <c r="I195" i="17"/>
  <c r="H195" i="17"/>
  <c r="G195" i="17"/>
  <c r="F195" i="17"/>
  <c r="E195" i="17"/>
  <c r="D195" i="17"/>
  <c r="C195" i="17"/>
  <c r="I188" i="17"/>
  <c r="H188" i="17"/>
  <c r="G188" i="17"/>
  <c r="F188" i="17"/>
  <c r="E188" i="17"/>
  <c r="D188" i="17"/>
  <c r="C188" i="17"/>
  <c r="I181" i="17"/>
  <c r="H181" i="17"/>
  <c r="G181" i="17"/>
  <c r="F181" i="17"/>
  <c r="E181" i="17"/>
  <c r="D181" i="17"/>
  <c r="C181" i="17"/>
  <c r="I174" i="17"/>
  <c r="H174" i="17"/>
  <c r="G174" i="17"/>
  <c r="F174" i="17"/>
  <c r="E174" i="17"/>
  <c r="D174" i="17"/>
  <c r="C174" i="17"/>
  <c r="I167" i="17"/>
  <c r="H167" i="17"/>
  <c r="G167" i="17"/>
  <c r="F167" i="17"/>
  <c r="E167" i="17"/>
  <c r="D167" i="17"/>
  <c r="C167" i="17"/>
  <c r="I160" i="17"/>
  <c r="H160" i="17"/>
  <c r="G160" i="17"/>
  <c r="F160" i="17"/>
  <c r="E160" i="17"/>
  <c r="D160" i="17"/>
  <c r="C160" i="17"/>
  <c r="I153" i="17"/>
  <c r="H153" i="17"/>
  <c r="G153" i="17"/>
  <c r="F153" i="17"/>
  <c r="E153" i="17"/>
  <c r="D153" i="17"/>
  <c r="C153" i="17"/>
  <c r="I146" i="17"/>
  <c r="H146" i="17"/>
  <c r="G146" i="17"/>
  <c r="F146" i="17"/>
  <c r="E146" i="17"/>
  <c r="D146" i="17"/>
  <c r="C146" i="17"/>
  <c r="I139" i="17"/>
  <c r="H139" i="17"/>
  <c r="G139" i="17"/>
  <c r="F139" i="17"/>
  <c r="E139" i="17"/>
  <c r="D139" i="17"/>
  <c r="C139" i="17"/>
  <c r="I132" i="17"/>
  <c r="H132" i="17"/>
  <c r="G132" i="17"/>
  <c r="F132" i="17"/>
  <c r="E132" i="17"/>
  <c r="D132" i="17"/>
  <c r="C132" i="17"/>
  <c r="I125" i="17"/>
  <c r="H125" i="17"/>
  <c r="G125" i="17"/>
  <c r="F125" i="17"/>
  <c r="E125" i="17"/>
  <c r="D125" i="17"/>
  <c r="C125" i="17"/>
  <c r="I118" i="17"/>
  <c r="H118" i="17"/>
  <c r="G118" i="17"/>
  <c r="F118" i="17"/>
  <c r="E118" i="17"/>
  <c r="D118" i="17"/>
  <c r="C118" i="17"/>
  <c r="I111" i="17"/>
  <c r="H111" i="17"/>
  <c r="G111" i="17"/>
  <c r="F111" i="17"/>
  <c r="E111" i="17"/>
  <c r="D111" i="17"/>
  <c r="C111" i="17"/>
  <c r="I104" i="17"/>
  <c r="H104" i="17"/>
  <c r="G104" i="17"/>
  <c r="F104" i="17"/>
  <c r="E104" i="17"/>
  <c r="D104" i="17"/>
  <c r="C104" i="17"/>
  <c r="I97" i="17"/>
  <c r="H97" i="17"/>
  <c r="G97" i="17"/>
  <c r="F97" i="17"/>
  <c r="E97" i="17"/>
  <c r="D97" i="17"/>
  <c r="C97" i="17"/>
  <c r="I90" i="17"/>
  <c r="H90" i="17"/>
  <c r="G90" i="17"/>
  <c r="F90" i="17"/>
  <c r="E90" i="17"/>
  <c r="D90" i="17"/>
  <c r="C90" i="17"/>
  <c r="I83" i="17"/>
  <c r="H83" i="17"/>
  <c r="G83" i="17"/>
  <c r="F83" i="17"/>
  <c r="E83" i="17"/>
  <c r="D83" i="17"/>
  <c r="C83" i="17"/>
  <c r="I76" i="17"/>
  <c r="H76" i="17"/>
  <c r="G76" i="17"/>
  <c r="F76" i="17"/>
  <c r="E76" i="17"/>
  <c r="D76" i="17"/>
  <c r="C76" i="17"/>
  <c r="I69" i="17"/>
  <c r="H69" i="17"/>
  <c r="G69" i="17"/>
  <c r="F69" i="17"/>
  <c r="E69" i="17"/>
  <c r="D69" i="17"/>
  <c r="C69" i="17"/>
  <c r="I62" i="17"/>
  <c r="H62" i="17"/>
  <c r="G62" i="17"/>
  <c r="F62" i="17"/>
  <c r="E62" i="17"/>
  <c r="D62" i="17"/>
  <c r="C62" i="17"/>
  <c r="I55" i="17"/>
  <c r="H55" i="17"/>
  <c r="G55" i="17"/>
  <c r="F55" i="17"/>
  <c r="E55" i="17"/>
  <c r="D55" i="17"/>
  <c r="C55" i="17"/>
  <c r="I48" i="17"/>
  <c r="H48" i="17"/>
  <c r="G48" i="17"/>
  <c r="F48" i="17"/>
  <c r="E48" i="17"/>
  <c r="D48" i="17"/>
  <c r="C48" i="17"/>
  <c r="I41" i="17"/>
  <c r="H41" i="17"/>
  <c r="G41" i="17"/>
  <c r="F41" i="17"/>
  <c r="E41" i="17"/>
  <c r="D41" i="17"/>
  <c r="C41" i="17"/>
  <c r="I34" i="17"/>
  <c r="H34" i="17"/>
  <c r="G34" i="17"/>
  <c r="F34" i="17"/>
  <c r="E34" i="17"/>
  <c r="D34" i="17"/>
  <c r="C34" i="17"/>
  <c r="I27" i="17"/>
  <c r="H27" i="17"/>
  <c r="G27" i="17"/>
  <c r="F27" i="17"/>
  <c r="E27" i="17"/>
  <c r="D27" i="17"/>
  <c r="C27" i="17"/>
  <c r="I20" i="17"/>
  <c r="H20" i="17"/>
  <c r="G20" i="17"/>
  <c r="F20" i="17"/>
  <c r="E20" i="17"/>
  <c r="D20" i="17"/>
  <c r="C20" i="17"/>
  <c r="I13" i="17"/>
  <c r="H13" i="17"/>
  <c r="G13" i="17"/>
  <c r="F13" i="17"/>
  <c r="E13" i="17"/>
  <c r="D13" i="17"/>
  <c r="C13" i="17"/>
  <c r="I6" i="17"/>
  <c r="H6" i="17"/>
  <c r="G6" i="17"/>
  <c r="F6" i="17"/>
  <c r="E6" i="17"/>
  <c r="D6" i="17"/>
  <c r="H67" i="5"/>
  <c r="G67" i="5"/>
  <c r="F67" i="5"/>
  <c r="E67" i="5"/>
  <c r="D67" i="5"/>
  <c r="C67" i="5"/>
  <c r="B67" i="5"/>
  <c r="I61" i="5"/>
  <c r="H55" i="5"/>
  <c r="H54" i="5"/>
  <c r="H53" i="5"/>
  <c r="B36" i="5"/>
  <c r="C10" i="5"/>
  <c r="C6" i="17"/>
  <c r="L1" i="11"/>
  <c r="D12" i="21" s="1"/>
  <c r="H1" i="2"/>
  <c r="M1" i="2"/>
  <c r="E6" i="21" s="1"/>
  <c r="J1" i="1"/>
  <c r="B5" i="21" s="1"/>
  <c r="H1" i="1"/>
  <c r="B37" i="5"/>
  <c r="C26" i="5"/>
  <c r="C24" i="5"/>
  <c r="C11" i="5"/>
  <c r="B43" i="5"/>
  <c r="C30" i="5"/>
  <c r="G43" i="5"/>
  <c r="C17" i="5"/>
  <c r="J5" i="22"/>
  <c r="I5" i="22"/>
  <c r="J62" i="17" l="1"/>
  <c r="J258" i="17"/>
  <c r="J286" i="17"/>
  <c r="J356" i="17"/>
  <c r="J370" i="17"/>
  <c r="J307" i="17"/>
  <c r="I67" i="5"/>
  <c r="J13" i="17"/>
  <c r="J27" i="17"/>
  <c r="J48" i="17"/>
  <c r="J76" i="17"/>
  <c r="J97" i="17"/>
  <c r="J111" i="17"/>
  <c r="J125" i="17"/>
  <c r="J139" i="17"/>
  <c r="J160" i="17"/>
  <c r="J174" i="17"/>
  <c r="J188" i="17"/>
  <c r="J209" i="17"/>
  <c r="J223" i="17"/>
  <c r="J237" i="17"/>
  <c r="J244" i="17"/>
  <c r="J265" i="17"/>
  <c r="J279" i="17"/>
  <c r="J293" i="17"/>
  <c r="J321" i="17"/>
  <c r="J342" i="17"/>
  <c r="J6" i="17"/>
  <c r="J20" i="17"/>
  <c r="J41" i="17"/>
  <c r="J55" i="17"/>
  <c r="J69" i="17"/>
  <c r="J83" i="17"/>
  <c r="J104" i="17"/>
  <c r="J118" i="17"/>
  <c r="J153" i="17"/>
  <c r="J167" i="17"/>
  <c r="J195" i="17"/>
  <c r="J216" i="17"/>
  <c r="J230" i="17"/>
  <c r="J251" i="17"/>
  <c r="J272" i="17"/>
  <c r="J34" i="17"/>
  <c r="J132" i="17"/>
  <c r="J181" i="17"/>
  <c r="J300" i="17"/>
  <c r="J328" i="17"/>
  <c r="J335" i="17"/>
  <c r="J349" i="17"/>
  <c r="J363" i="17"/>
  <c r="J90" i="17"/>
  <c r="J146" i="17"/>
  <c r="J202" i="17"/>
  <c r="J314" i="17"/>
  <c r="J1" i="15"/>
  <c r="B16" i="21" s="1"/>
  <c r="D3" i="21"/>
  <c r="M1" i="10"/>
  <c r="E11" i="21" s="1"/>
  <c r="M1" i="1"/>
  <c r="E5" i="21" s="1"/>
  <c r="M1" i="3"/>
  <c r="E7" i="21" s="1"/>
  <c r="C9" i="21"/>
  <c r="M1" i="15"/>
  <c r="E16" i="21" s="1"/>
  <c r="C13" i="5"/>
  <c r="H1" i="12"/>
  <c r="C20" i="5"/>
  <c r="H1" i="11"/>
  <c r="B44" i="5"/>
  <c r="B45" i="5" s="1"/>
  <c r="B46" i="5" s="1"/>
  <c r="B47" i="5" s="1"/>
  <c r="B49" i="5" s="1"/>
  <c r="B48" i="5" s="1"/>
  <c r="D20" i="5"/>
  <c r="D13" i="5"/>
  <c r="I1" i="12" l="1"/>
  <c r="I1" i="11"/>
  <c r="J1" i="11" l="1"/>
  <c r="B12" i="21" s="1"/>
  <c r="K1" i="11"/>
  <c r="J1" i="12"/>
  <c r="B13" i="21" s="1"/>
  <c r="K1" i="12"/>
  <c r="B3" i="21" l="1"/>
  <c r="M1" i="12"/>
  <c r="E13" i="21" s="1"/>
  <c r="C13" i="21"/>
  <c r="M1" i="11"/>
  <c r="E12" i="21" s="1"/>
  <c r="C12" i="21"/>
  <c r="C3" i="21" l="1"/>
  <c r="E3" i="21"/>
</calcChain>
</file>

<file path=xl/sharedStrings.xml><?xml version="1.0" encoding="utf-8"?>
<sst xmlns="http://schemas.openxmlformats.org/spreadsheetml/2006/main" count="604" uniqueCount="156">
  <si>
    <t>Task</t>
  </si>
  <si>
    <t>MH</t>
  </si>
  <si>
    <t>User Calculations</t>
  </si>
  <si>
    <t>Week Time Acc:</t>
  </si>
  <si>
    <t>Week Time Rem:</t>
  </si>
  <si>
    <t>Time In:</t>
  </si>
  <si>
    <t>Time Out:</t>
  </si>
  <si>
    <t>Daily</t>
  </si>
  <si>
    <t>Hours:</t>
  </si>
  <si>
    <t>Break:</t>
  </si>
  <si>
    <t>Hours to Decimal:</t>
  </si>
  <si>
    <t>Decimal to Hours:</t>
  </si>
  <si>
    <t>Weekly</t>
  </si>
  <si>
    <t>Time Start:</t>
  </si>
  <si>
    <t>Time End:</t>
  </si>
  <si>
    <t>General Calculations</t>
  </si>
  <si>
    <t>Time in Week:</t>
  </si>
  <si>
    <t>Current Hours:</t>
  </si>
  <si>
    <t>Days Remaining:</t>
  </si>
  <si>
    <t>Friday Check Out:</t>
  </si>
  <si>
    <t>Forecast (From Beginning of Day)</t>
  </si>
  <si>
    <t>Thu</t>
  </si>
  <si>
    <t>This Morning is:</t>
  </si>
  <si>
    <t>Holidays</t>
  </si>
  <si>
    <t>Vacation</t>
  </si>
  <si>
    <t>Personal Days</t>
  </si>
  <si>
    <t>Available</t>
  </si>
  <si>
    <t>Used 1</t>
  </si>
  <si>
    <t>Used 2</t>
  </si>
  <si>
    <t>Used 3</t>
  </si>
  <si>
    <t>Used 4</t>
  </si>
  <si>
    <t>Used 5</t>
  </si>
  <si>
    <t>Allotted</t>
  </si>
  <si>
    <t>Sick Days</t>
  </si>
  <si>
    <t>Day Track</t>
  </si>
  <si>
    <t>Mon</t>
  </si>
  <si>
    <t>Total</t>
  </si>
  <si>
    <t>Tue</t>
  </si>
  <si>
    <t>Wed</t>
  </si>
  <si>
    <t>Fri</t>
  </si>
  <si>
    <t>Sat</t>
  </si>
  <si>
    <t>Sun</t>
  </si>
  <si>
    <t>Date</t>
  </si>
  <si>
    <t>Conference</t>
  </si>
  <si>
    <t>Description</t>
  </si>
  <si>
    <t>Hours</t>
  </si>
  <si>
    <t>Type</t>
  </si>
  <si>
    <t>Hour Track</t>
  </si>
  <si>
    <t>In:</t>
  </si>
  <si>
    <t>Out:</t>
  </si>
  <si>
    <t>Daily:</t>
  </si>
  <si>
    <t>Week</t>
  </si>
  <si>
    <t>Time Format</t>
  </si>
  <si>
    <t>h:nn AM/PM</t>
  </si>
  <si>
    <t>Project</t>
  </si>
  <si>
    <t>Start</t>
  </si>
  <si>
    <t>End</t>
  </si>
  <si>
    <t>Billable</t>
  </si>
  <si>
    <t>Charge</t>
  </si>
  <si>
    <t>Received</t>
  </si>
  <si>
    <t>Due</t>
  </si>
  <si>
    <t>Name</t>
  </si>
  <si>
    <t>Value</t>
  </si>
  <si>
    <t>Hourly Rate</t>
  </si>
  <si>
    <t>Remark</t>
  </si>
  <si>
    <r>
      <t xml:space="preserve">Use </t>
    </r>
    <r>
      <rPr>
        <b/>
        <sz val="8"/>
        <rFont val="Verdana"/>
        <family val="2"/>
      </rPr>
      <t>HH:nn</t>
    </r>
    <r>
      <rPr>
        <sz val="8"/>
        <rFont val="Verdana"/>
        <family val="2"/>
      </rPr>
      <t xml:space="preserve"> for 24-hour time, and
</t>
    </r>
    <r>
      <rPr>
        <b/>
        <sz val="8"/>
        <rFont val="Verdana"/>
        <family val="2"/>
      </rPr>
      <t>h:nn AM/PM</t>
    </r>
    <r>
      <rPr>
        <sz val="8"/>
        <rFont val="Verdana"/>
        <family val="2"/>
      </rPr>
      <t xml:space="preserve"> for 12-hour time.</t>
    </r>
  </si>
  <si>
    <t>The hourly rate displayed as billable on journal sheets.</t>
  </si>
  <si>
    <t>Commission</t>
  </si>
  <si>
    <t>Commission to pay out from charged time, in percentage.</t>
  </si>
  <si>
    <t>Product Key</t>
  </si>
  <si>
    <t>Product ID</t>
  </si>
  <si>
    <t>The corresponding product key to unlock this spreadsheet for normal use.</t>
  </si>
  <si>
    <t>1191-5752-B344-4ADE</t>
  </si>
  <si>
    <t>SECURITY WARNING Macros have been disabled. [Enable Content]</t>
  </si>
  <si>
    <t>PROTECTED VIEW Be careful - files from the Internet can contain viruses. Unless you need to edit, it's safer to stay in Protected View. [Enable Editing]</t>
  </si>
  <si>
    <r>
      <t xml:space="preserve">2. </t>
    </r>
    <r>
      <rPr>
        <b/>
        <sz val="8"/>
        <color theme="4" tint="-0.499984740745262"/>
        <rFont val="Verdana"/>
        <family val="2"/>
      </rPr>
      <t>Deactivate Protected View</t>
    </r>
    <r>
      <rPr>
        <sz val="8"/>
        <color theme="4" tint="-0.499984740745262"/>
        <rFont val="Verdana"/>
        <family val="2"/>
      </rPr>
      <t xml:space="preserve">.
If you see the following message at the top of the page, click </t>
    </r>
    <r>
      <rPr>
        <b/>
        <sz val="8"/>
        <color theme="4" tint="-0.499984740745262"/>
        <rFont val="Verdana"/>
        <family val="2"/>
      </rPr>
      <t>Enable Editing</t>
    </r>
    <r>
      <rPr>
        <sz val="8"/>
        <color theme="4" tint="-0.499984740745262"/>
        <rFont val="Verdana"/>
        <family val="2"/>
      </rPr>
      <t>.</t>
    </r>
  </si>
  <si>
    <t>The unique serial number of this product.</t>
  </si>
  <si>
    <r>
      <t xml:space="preserve">3. </t>
    </r>
    <r>
      <rPr>
        <b/>
        <sz val="8"/>
        <color theme="4" tint="-0.499984740745262"/>
        <rFont val="Verdana"/>
        <family val="2"/>
      </rPr>
      <t>Enter your Product Key</t>
    </r>
    <r>
      <rPr>
        <sz val="8"/>
        <color theme="4" tint="-0.499984740745262"/>
        <rFont val="Verdana"/>
        <family val="2"/>
      </rPr>
      <t>. Your receipt for this purchase will contain the matching Product Key to unlock this product for the Product ID set at the factory. If macros are enabled and the Product Key is correct, these getting started steps will disappear.
If either of those warning messages appear on this file in the future, it may mean that you have moved or renamed the file. Just click [Enable Content] or [Enable Editing] to get going again.</t>
    </r>
  </si>
  <si>
    <r>
      <rPr>
        <b/>
        <sz val="12"/>
        <color theme="4" tint="-0.499984740745262"/>
        <rFont val="Verdana"/>
        <family val="2"/>
      </rPr>
      <t>Next Steps</t>
    </r>
    <r>
      <rPr>
        <sz val="8"/>
        <color theme="4" tint="-0.499984740745262"/>
        <rFont val="Verdana"/>
        <family val="2"/>
      </rPr>
      <t xml:space="preserve">. Thank you for purchasing the TimeCalc Excel spreadsheet. To hide these steps and start using this file's features, take the following actions.
1. </t>
    </r>
    <r>
      <rPr>
        <b/>
        <sz val="8"/>
        <color theme="4" tint="-0.499984740745262"/>
        <rFont val="Verdana"/>
        <family val="2"/>
      </rPr>
      <t>Enable Macros</t>
    </r>
    <r>
      <rPr>
        <sz val="8"/>
        <color theme="4" tint="-0.499984740745262"/>
        <rFont val="Verdana"/>
        <family val="2"/>
      </rPr>
      <t xml:space="preserve">.
If you see the following message at the top of the page, click </t>
    </r>
    <r>
      <rPr>
        <b/>
        <sz val="8"/>
        <color theme="4" tint="-0.499984740745262"/>
        <rFont val="Verdana"/>
        <family val="2"/>
      </rPr>
      <t>Enable Content</t>
    </r>
    <r>
      <rPr>
        <sz val="8"/>
        <color theme="4" tint="-0.499984740745262"/>
        <rFont val="Verdana"/>
        <family val="2"/>
      </rPr>
      <t>.</t>
    </r>
  </si>
  <si>
    <t>FC35-1369-0827-80E3</t>
  </si>
  <si>
    <t>Payment per Unit:</t>
  </si>
  <si>
    <t>Time:</t>
  </si>
  <si>
    <t>sec</t>
  </si>
  <si>
    <t>Per Second:</t>
  </si>
  <si>
    <t>Per Minute:</t>
  </si>
  <si>
    <t>Per Hour:</t>
  </si>
  <si>
    <t>Per Day:</t>
  </si>
  <si>
    <t>Per Week:</t>
  </si>
  <si>
    <t>Per Month:</t>
  </si>
  <si>
    <t>Per Year:</t>
  </si>
  <si>
    <t>Award from Cyclical Time Spent</t>
  </si>
  <si>
    <t>Calculate Award Needed</t>
  </si>
  <si>
    <t>Payment Required:</t>
  </si>
  <si>
    <t>hr</t>
  </si>
  <si>
    <t>Task Time:</t>
  </si>
  <si>
    <t>Per Task Payment:</t>
  </si>
  <si>
    <t>Bill To</t>
  </si>
  <si>
    <t>Ship To</t>
  </si>
  <si>
    <t>Invoice #</t>
  </si>
  <si>
    <t>Invoice Date</t>
  </si>
  <si>
    <t>Due Date</t>
  </si>
  <si>
    <t>Man Hours</t>
  </si>
  <si>
    <t>Rate</t>
  </si>
  <si>
    <t>Active</t>
  </si>
  <si>
    <t>Sent</t>
  </si>
  <si>
    <t>Total Due</t>
  </si>
  <si>
    <t>TERMS AND CONDITIONS</t>
  </si>
  <si>
    <t>Payment is due within 15 days of invoice.</t>
  </si>
  <si>
    <t>Thank You</t>
  </si>
  <si>
    <t>Total Time</t>
  </si>
  <si>
    <t>Last Invoice</t>
  </si>
  <si>
    <t>Most recent Invoice generated. In the case that the leftmost 8 digits can be equated with today, the rightmost 2 digits will be incremented.</t>
  </si>
  <si>
    <t>Bill To Name</t>
  </si>
  <si>
    <t>Bill To Address</t>
  </si>
  <si>
    <t>Bill To City State Zip</t>
  </si>
  <si>
    <t>Ship To Name</t>
  </si>
  <si>
    <t>Ship To Address</t>
  </si>
  <si>
    <t>Ship To City State Zip</t>
  </si>
  <si>
    <t>Code</t>
  </si>
  <si>
    <t>Invoice Name</t>
  </si>
  <si>
    <t>Name of the person or company sending the invoice.</t>
  </si>
  <si>
    <t>Invoice Address</t>
  </si>
  <si>
    <t>Address of the person or company sending the invoice.</t>
  </si>
  <si>
    <t>January</t>
  </si>
  <si>
    <t>Invoices and Receipts</t>
  </si>
  <si>
    <t>February</t>
  </si>
  <si>
    <t>March</t>
  </si>
  <si>
    <t>April</t>
  </si>
  <si>
    <t>May</t>
  </si>
  <si>
    <t>June</t>
  </si>
  <si>
    <t>July</t>
  </si>
  <si>
    <t>August</t>
  </si>
  <si>
    <t>September</t>
  </si>
  <si>
    <t>October</t>
  </si>
  <si>
    <t>November</t>
  </si>
  <si>
    <t>December</t>
  </si>
  <si>
    <t>Invoiced</t>
  </si>
  <si>
    <t>Filter:</t>
  </si>
  <si>
    <t>Log Report - Saturday, September 23, 2017 through Friday, September 29, 2017</t>
  </si>
  <si>
    <t>Service Invoice</t>
  </si>
  <si>
    <t>Service</t>
  </si>
  <si>
    <t>Customer</t>
  </si>
  <si>
    <t>CustomerService</t>
  </si>
  <si>
    <t>Rate per hr</t>
  </si>
  <si>
    <t>Rate Projector</t>
  </si>
  <si>
    <t>%</t>
  </si>
  <si>
    <t>Commission or tax:</t>
  </si>
  <si>
    <t>Net hourly rate:</t>
  </si>
  <si>
    <t>Gross rate:</t>
  </si>
  <si>
    <t>Version</t>
  </si>
  <si>
    <t>Current version of this release.</t>
  </si>
  <si>
    <t>Outlook Notify</t>
  </si>
  <si>
    <t>Value indicating whether to use Outlook notifications that remind you on the due date of each invoice. 1 = Yes; 0 = No.</t>
  </si>
  <si>
    <t>Testing : Fourth task</t>
  </si>
  <si>
    <t>123 Main Ave. Suite 45
Smalltown, ST. 99999</t>
  </si>
  <si>
    <t>Free Agent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</si>
</sst>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8" x14ac:knownFonts="1">
    <font>
      <sz val="8"/>
      <name val="Verdana"/>
    </font>
    <font>
      <b/>
      <sz val="8"/>
      <name val="Verdana"/>
      <family val="2"/>
    </font>
    <font>
      <sz val="8"/>
      <name val="Verdana"/>
      <family val="2"/>
    </font>
    <font>
      <b/>
      <sz val="12"/>
      <name val="Verdana"/>
      <family val="2"/>
    </font>
    <font>
      <sz val="8"/>
      <color theme="4" tint="-0.499984740745262"/>
      <name val="Verdana"/>
      <family val="2"/>
    </font>
    <font>
      <b/>
      <sz val="8"/>
      <color theme="4" tint="-0.499984740745262"/>
      <name val="Verdana"/>
      <family val="2"/>
    </font>
    <font>
      <b/>
      <sz val="12"/>
      <color theme="4" tint="-0.499984740745262"/>
      <name val="Verdana"/>
      <family val="2"/>
    </font>
    <font>
      <b/>
      <sz val="26"/>
      <name val="Calibri"/>
      <family val="2"/>
      <scheme val="minor"/>
    </font>
    <font>
      <b/>
      <sz val="10"/>
      <name val="Verdana"/>
      <family val="2"/>
    </font>
    <font>
      <sz val="10"/>
      <name val="Verdana"/>
      <family val="2"/>
    </font>
    <font>
      <sz val="36"/>
      <name val="Magneto"/>
      <family val="5"/>
    </font>
    <font>
      <b/>
      <sz val="18"/>
      <name val="Verdana"/>
      <family val="2"/>
    </font>
    <font>
      <sz val="8"/>
      <name val="Verdana"/>
    </font>
    <font>
      <sz val="13"/>
      <name val="Verdana"/>
      <family val="2"/>
    </font>
    <font>
      <sz val="14"/>
      <name val="Verdana"/>
      <family val="2"/>
    </font>
    <font>
      <sz val="8"/>
      <color theme="0"/>
      <name val="Verdana"/>
      <family val="2"/>
    </font>
    <font>
      <b/>
      <sz val="8"/>
      <name val="Verdana"/>
      <family val="2"/>
    </font>
    <font>
      <sz val="8"/>
      <name val="Verdana"/>
      <family val="2"/>
    </font>
  </fonts>
  <fills count="9">
    <fill>
      <patternFill patternType="none"/>
    </fill>
    <fill>
      <patternFill patternType="gray125"/>
    </fill>
    <fill>
      <patternFill patternType="solid">
        <fgColor indexed="32"/>
        <bgColor indexed="64"/>
      </patternFill>
    </fill>
    <fill>
      <patternFill patternType="solid">
        <fgColor theme="4" tint="0.79998168889431442"/>
        <bgColor indexed="64"/>
      </patternFill>
    </fill>
    <fill>
      <patternFill patternType="solid">
        <fgColor theme="0" tint="-0.14996795556505021"/>
        <bgColor indexed="64"/>
      </patternFill>
    </fill>
    <fill>
      <patternFill patternType="solid">
        <fgColor theme="7" tint="0.59996337778862885"/>
        <bgColor indexed="64"/>
      </patternFill>
    </fill>
    <fill>
      <patternFill patternType="solid">
        <fgColor theme="4" tint="0.39997558519241921"/>
        <bgColor indexed="64"/>
      </patternFill>
    </fill>
    <fill>
      <patternFill patternType="solid">
        <fgColor theme="4" tint="0.79995117038483843"/>
        <bgColor indexed="64"/>
      </patternFill>
    </fill>
    <fill>
      <patternFill patternType="solid">
        <fgColor theme="0" tint="-4.9989318521683403E-2"/>
        <bgColor indexed="64"/>
      </patternFill>
    </fill>
  </fills>
  <borders count="35">
    <border>
      <left/>
      <right/>
      <top/>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thin">
        <color indexed="8"/>
      </bottom>
      <diagonal/>
    </border>
    <border>
      <left/>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22"/>
      </left>
      <right/>
      <top style="thin">
        <color indexed="22"/>
      </top>
      <bottom style="thin">
        <color indexed="22"/>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22"/>
      </right>
      <top style="thin">
        <color indexed="22"/>
      </top>
      <bottom style="thin">
        <color indexed="22"/>
      </bottom>
      <diagonal/>
    </border>
    <border>
      <left style="medium">
        <color theme="4" tint="-0.499984740745262"/>
      </left>
      <right style="medium">
        <color theme="4" tint="-0.499984740745262"/>
      </right>
      <top style="medium">
        <color theme="4" tint="-0.499984740745262"/>
      </top>
      <bottom style="medium">
        <color theme="4" tint="-0.499984740745262"/>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medium">
        <color theme="1" tint="0.499984740745262"/>
      </left>
      <right style="medium">
        <color theme="1" tint="0.499984740745262"/>
      </right>
      <top style="medium">
        <color theme="1" tint="0.499984740745262"/>
      </top>
      <bottom style="medium">
        <color theme="1" tint="0.499984740745262"/>
      </bottom>
      <diagonal/>
    </border>
    <border>
      <left style="thin">
        <color theme="1" tint="0.499984740745262"/>
      </left>
      <right style="thin">
        <color auto="1"/>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style="thin">
        <color auto="1"/>
      </left>
      <right style="medium">
        <color theme="4" tint="-0.499984740745262"/>
      </right>
      <top style="thin">
        <color auto="1"/>
      </top>
      <bottom style="thin">
        <color auto="1"/>
      </bottom>
      <diagonal/>
    </border>
    <border>
      <left style="thin">
        <color indexed="64"/>
      </left>
      <right style="thin">
        <color indexed="64"/>
      </right>
      <top style="thin">
        <color indexed="64"/>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right/>
      <top style="thin">
        <color auto="1"/>
      </top>
      <bottom/>
      <diagonal/>
    </border>
    <border>
      <left/>
      <right style="thin">
        <color auto="1"/>
      </right>
      <top/>
      <bottom/>
      <diagonal/>
    </border>
    <border>
      <left/>
      <right/>
      <top style="medium">
        <color auto="1"/>
      </top>
      <bottom style="medium">
        <color auto="1"/>
      </bottom>
      <diagonal/>
    </border>
    <border>
      <left/>
      <right/>
      <top style="medium">
        <color auto="1"/>
      </top>
      <bottom/>
      <diagonal/>
    </border>
    <border>
      <left style="medium">
        <color auto="1"/>
      </left>
      <right/>
      <top style="thin">
        <color auto="1"/>
      </top>
      <bottom/>
      <diagonal/>
    </border>
    <border>
      <left/>
      <right style="medium">
        <color auto="1"/>
      </right>
      <top style="thin">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auto="1"/>
      </top>
      <bottom style="thin">
        <color auto="1"/>
      </bottom>
      <diagonal/>
    </border>
    <border>
      <left style="medium">
        <color theme="1" tint="0.499984740745262"/>
      </left>
      <right style="medium">
        <color theme="1" tint="0.499984740745262"/>
      </right>
      <top style="medium">
        <color theme="1" tint="0.499984740745262"/>
      </top>
      <bottom style="medium">
        <color auto="1"/>
      </bottom>
      <diagonal/>
    </border>
    <border>
      <left/>
      <right/>
      <top style="medium">
        <color theme="1" tint="0.499984740745262"/>
      </top>
      <bottom/>
      <diagonal/>
    </border>
  </borders>
  <cellStyleXfs count="1">
    <xf numFmtId="0" fontId="0" fillId="0" borderId="0"/>
  </cellStyleXfs>
  <cellXfs count="124">
    <xf numFmtId="0" fontId="0" fillId="0" borderId="0" xfId="0"/>
    <xf numFmtId="22" fontId="0" fillId="0" borderId="0" xfId="0" applyNumberFormat="1"/>
    <xf numFmtId="2" fontId="0" fillId="0" borderId="0" xfId="0" applyNumberFormat="1"/>
    <xf numFmtId="20" fontId="0" fillId="0" borderId="0" xfId="0" applyNumberFormat="1"/>
    <xf numFmtId="0" fontId="0" fillId="0" borderId="1" xfId="0" applyBorder="1"/>
    <xf numFmtId="0" fontId="0" fillId="2" borderId="1" xfId="0" applyFill="1" applyBorder="1"/>
    <xf numFmtId="2" fontId="0" fillId="0" borderId="0" xfId="0" applyNumberFormat="1" applyBorder="1"/>
    <xf numFmtId="2" fontId="0" fillId="2" borderId="1" xfId="0" applyNumberFormat="1" applyFill="1" applyBorder="1"/>
    <xf numFmtId="20" fontId="1" fillId="2" borderId="1" xfId="0" applyNumberFormat="1" applyFont="1" applyFill="1" applyBorder="1"/>
    <xf numFmtId="0" fontId="1" fillId="2" borderId="1" xfId="0" applyFont="1" applyFill="1" applyBorder="1"/>
    <xf numFmtId="0" fontId="1" fillId="0" borderId="0" xfId="0" applyFont="1"/>
    <xf numFmtId="0" fontId="0" fillId="0" borderId="2" xfId="0" applyBorder="1"/>
    <xf numFmtId="0" fontId="0" fillId="2" borderId="3" xfId="0" applyFill="1" applyBorder="1"/>
    <xf numFmtId="0" fontId="0" fillId="0" borderId="4" xfId="0" applyBorder="1"/>
    <xf numFmtId="0" fontId="0" fillId="2" borderId="5" xfId="0" applyFill="1" applyBorder="1"/>
    <xf numFmtId="14" fontId="0" fillId="0" borderId="0" xfId="0" applyNumberFormat="1"/>
    <xf numFmtId="49" fontId="0" fillId="0" borderId="0" xfId="0" applyNumberFormat="1"/>
    <xf numFmtId="0" fontId="0" fillId="0" borderId="0" xfId="0" applyAlignment="1">
      <alignment horizontal="right"/>
    </xf>
    <xf numFmtId="20" fontId="0" fillId="0" borderId="4" xfId="0" applyNumberFormat="1" applyBorder="1"/>
    <xf numFmtId="2" fontId="0" fillId="2" borderId="6" xfId="0" applyNumberFormat="1" applyFill="1" applyBorder="1"/>
    <xf numFmtId="2" fontId="0" fillId="2" borderId="7" xfId="0" applyNumberFormat="1" applyFill="1" applyBorder="1"/>
    <xf numFmtId="18" fontId="0" fillId="0" borderId="0" xfId="0" applyNumberFormat="1"/>
    <xf numFmtId="18" fontId="0" fillId="0" borderId="1" xfId="0" applyNumberFormat="1" applyBorder="1"/>
    <xf numFmtId="18" fontId="1" fillId="2" borderId="1" xfId="0" applyNumberFormat="1" applyFont="1" applyFill="1" applyBorder="1"/>
    <xf numFmtId="18" fontId="1" fillId="2" borderId="8" xfId="0" applyNumberFormat="1" applyFont="1" applyFill="1" applyBorder="1"/>
    <xf numFmtId="18" fontId="0" fillId="0" borderId="4" xfId="0" applyNumberFormat="1" applyBorder="1"/>
    <xf numFmtId="4" fontId="0" fillId="0" borderId="0" xfId="0" applyNumberFormat="1"/>
    <xf numFmtId="22" fontId="2" fillId="0" borderId="0" xfId="0" applyNumberFormat="1" applyFont="1"/>
    <xf numFmtId="0" fontId="3" fillId="0" borderId="0" xfId="0" applyFont="1"/>
    <xf numFmtId="0" fontId="1" fillId="0" borderId="0" xfId="0" applyFont="1" applyAlignment="1">
      <alignment vertical="top"/>
    </xf>
    <xf numFmtId="0" fontId="0" fillId="0" borderId="0" xfId="0" applyAlignment="1">
      <alignment vertical="top"/>
    </xf>
    <xf numFmtId="0" fontId="2" fillId="3" borderId="9" xfId="0" applyFont="1" applyFill="1" applyBorder="1" applyAlignment="1">
      <alignment vertical="top" wrapText="1"/>
    </xf>
    <xf numFmtId="0" fontId="1" fillId="0" borderId="0" xfId="0" applyFont="1" applyAlignment="1">
      <alignment vertical="top" wrapText="1"/>
    </xf>
    <xf numFmtId="0" fontId="0" fillId="0" borderId="0" xfId="0" applyAlignment="1">
      <alignment vertical="top" wrapText="1"/>
    </xf>
    <xf numFmtId="2" fontId="0" fillId="0" borderId="11" xfId="0" applyNumberFormat="1" applyBorder="1" applyAlignment="1">
      <alignment vertical="top"/>
    </xf>
    <xf numFmtId="0" fontId="0" fillId="3" borderId="9" xfId="0" applyFill="1" applyBorder="1" applyAlignment="1">
      <alignment vertical="top" wrapText="1"/>
    </xf>
    <xf numFmtId="4" fontId="0" fillId="4" borderId="12" xfId="0" applyNumberFormat="1" applyFill="1" applyBorder="1"/>
    <xf numFmtId="0" fontId="0" fillId="4" borderId="13" xfId="0" applyFill="1" applyBorder="1" applyAlignment="1">
      <alignment vertical="top"/>
    </xf>
    <xf numFmtId="0" fontId="2" fillId="4" borderId="13" xfId="0" applyFont="1" applyFill="1" applyBorder="1" applyAlignment="1">
      <alignment vertical="top"/>
    </xf>
    <xf numFmtId="0" fontId="0" fillId="0" borderId="10" xfId="0" applyBorder="1" applyAlignment="1">
      <alignment horizontal="center" vertical="top"/>
    </xf>
    <xf numFmtId="0" fontId="0" fillId="4" borderId="14" xfId="0" applyFill="1" applyBorder="1" applyAlignment="1">
      <alignment vertical="top"/>
    </xf>
    <xf numFmtId="0" fontId="0" fillId="0" borderId="11" xfId="0" applyBorder="1" applyAlignment="1">
      <alignment vertical="top"/>
    </xf>
    <xf numFmtId="0" fontId="2" fillId="0" borderId="15" xfId="0" applyFont="1" applyBorder="1" applyAlignment="1">
      <alignment vertical="top"/>
    </xf>
    <xf numFmtId="0" fontId="2" fillId="0" borderId="0" xfId="0" applyFont="1"/>
    <xf numFmtId="0" fontId="2" fillId="0" borderId="0" xfId="0" applyFont="1" applyFill="1" applyBorder="1"/>
    <xf numFmtId="164" fontId="0" fillId="0" borderId="4" xfId="0" applyNumberFormat="1" applyBorder="1"/>
    <xf numFmtId="0" fontId="2" fillId="0" borderId="4" xfId="0" applyFont="1" applyBorder="1"/>
    <xf numFmtId="0" fontId="0" fillId="0" borderId="16" xfId="0" applyBorder="1"/>
    <xf numFmtId="164" fontId="0" fillId="4" borderId="12" xfId="0" applyNumberFormat="1" applyFill="1" applyBorder="1"/>
    <xf numFmtId="0" fontId="0" fillId="0" borderId="0" xfId="0" applyAlignment="1"/>
    <xf numFmtId="0" fontId="2" fillId="0" borderId="0" xfId="0" applyFont="1" applyFill="1" applyBorder="1" applyAlignment="1"/>
    <xf numFmtId="0" fontId="2" fillId="0" borderId="16" xfId="0" applyFont="1" applyBorder="1"/>
    <xf numFmtId="0" fontId="1" fillId="0" borderId="0" xfId="0" applyFont="1" applyFill="1" applyBorder="1"/>
    <xf numFmtId="4" fontId="1" fillId="4" borderId="12" xfId="0" applyNumberFormat="1" applyFont="1" applyFill="1" applyBorder="1"/>
    <xf numFmtId="0" fontId="7" fillId="0" borderId="0" xfId="0" applyFont="1"/>
    <xf numFmtId="0" fontId="8" fillId="0" borderId="0" xfId="0" applyFont="1"/>
    <xf numFmtId="0" fontId="1" fillId="0" borderId="0" xfId="0" applyFont="1" applyAlignment="1">
      <alignment horizontal="right"/>
    </xf>
    <xf numFmtId="0" fontId="0" fillId="0" borderId="10" xfId="0" applyBorder="1" applyAlignment="1">
      <alignment horizontal="right"/>
    </xf>
    <xf numFmtId="14" fontId="0" fillId="0" borderId="10" xfId="0" applyNumberFormat="1" applyBorder="1" applyAlignment="1">
      <alignment horizontal="right"/>
    </xf>
    <xf numFmtId="14" fontId="2" fillId="0" borderId="10" xfId="0" applyNumberFormat="1" applyFont="1" applyBorder="1" applyAlignment="1">
      <alignment horizontal="right"/>
    </xf>
    <xf numFmtId="0" fontId="0" fillId="0" borderId="20" xfId="0" applyBorder="1"/>
    <xf numFmtId="0" fontId="0" fillId="0" borderId="0" xfId="0" applyBorder="1"/>
    <xf numFmtId="0" fontId="0" fillId="0" borderId="21" xfId="0" applyBorder="1"/>
    <xf numFmtId="4" fontId="1" fillId="0" borderId="0" xfId="0" applyNumberFormat="1" applyFont="1"/>
    <xf numFmtId="0" fontId="2" fillId="0" borderId="21" xfId="0" applyFont="1" applyBorder="1"/>
    <xf numFmtId="0" fontId="10" fillId="0" borderId="21" xfId="0" applyFont="1" applyBorder="1" applyAlignment="1">
      <alignment horizontal="right"/>
    </xf>
    <xf numFmtId="0" fontId="8" fillId="6" borderId="17" xfId="0" applyFont="1" applyFill="1" applyBorder="1"/>
    <xf numFmtId="0" fontId="0" fillId="6" borderId="18" xfId="0" applyFill="1" applyBorder="1"/>
    <xf numFmtId="0" fontId="0" fillId="6" borderId="19" xfId="0" applyFill="1" applyBorder="1"/>
    <xf numFmtId="0" fontId="9" fillId="0" borderId="24" xfId="0" applyFont="1" applyBorder="1"/>
    <xf numFmtId="0" fontId="0" fillId="0" borderId="25" xfId="0" applyBorder="1"/>
    <xf numFmtId="0" fontId="2" fillId="0" borderId="26" xfId="0" applyFont="1" applyBorder="1"/>
    <xf numFmtId="0" fontId="0" fillId="0" borderId="27" xfId="0" applyBorder="1"/>
    <xf numFmtId="0" fontId="0" fillId="0" borderId="28" xfId="0" applyBorder="1"/>
    <xf numFmtId="0" fontId="0" fillId="0" borderId="29" xfId="0" applyBorder="1"/>
    <xf numFmtId="0" fontId="0" fillId="0" borderId="30" xfId="0" applyBorder="1"/>
    <xf numFmtId="0" fontId="2" fillId="4" borderId="14" xfId="0" applyFont="1" applyFill="1" applyBorder="1" applyAlignment="1">
      <alignment vertical="top"/>
    </xf>
    <xf numFmtId="0" fontId="2" fillId="4" borderId="31" xfId="0" applyFont="1" applyFill="1" applyBorder="1" applyAlignment="1">
      <alignment vertical="top"/>
    </xf>
    <xf numFmtId="0" fontId="2" fillId="0" borderId="32" xfId="0" applyFont="1" applyBorder="1" applyAlignment="1">
      <alignment vertical="top"/>
    </xf>
    <xf numFmtId="4" fontId="2" fillId="0" borderId="0" xfId="0" applyNumberFormat="1" applyFont="1"/>
    <xf numFmtId="4" fontId="1" fillId="0" borderId="29" xfId="0" applyNumberFormat="1" applyFont="1" applyBorder="1" applyAlignment="1">
      <alignment horizontal="right"/>
    </xf>
    <xf numFmtId="0" fontId="2" fillId="0" borderId="0" xfId="0" applyFont="1" applyFill="1"/>
    <xf numFmtId="4" fontId="0" fillId="0" borderId="0" xfId="0" applyNumberFormat="1" applyFill="1"/>
    <xf numFmtId="0" fontId="2" fillId="7" borderId="0" xfId="0" applyFont="1" applyFill="1"/>
    <xf numFmtId="4" fontId="0" fillId="7" borderId="0" xfId="0" applyNumberFormat="1" applyFill="1"/>
    <xf numFmtId="0" fontId="1" fillId="0" borderId="23" xfId="0" applyFont="1" applyBorder="1"/>
    <xf numFmtId="0" fontId="2" fillId="0" borderId="0" xfId="0" applyFont="1" applyBorder="1"/>
    <xf numFmtId="0" fontId="2" fillId="0" borderId="0" xfId="0" applyFont="1" applyBorder="1" applyAlignment="1">
      <alignment wrapText="1"/>
    </xf>
    <xf numFmtId="0" fontId="1" fillId="0" borderId="23" xfId="0" applyFont="1" applyBorder="1" applyAlignment="1">
      <alignment horizontal="left"/>
    </xf>
    <xf numFmtId="0" fontId="1" fillId="0" borderId="23" xfId="0" applyFont="1" applyFill="1" applyBorder="1" applyAlignment="1"/>
    <xf numFmtId="0" fontId="11" fillId="0" borderId="0" xfId="0" applyFont="1"/>
    <xf numFmtId="0" fontId="12" fillId="0" borderId="0" xfId="0" applyFont="1"/>
    <xf numFmtId="0" fontId="13" fillId="0" borderId="0" xfId="0" applyFont="1"/>
    <xf numFmtId="0" fontId="14" fillId="0" borderId="0" xfId="0" applyFont="1"/>
    <xf numFmtId="0" fontId="15" fillId="0" borderId="0" xfId="0" applyFont="1" applyAlignment="1">
      <alignment vertical="top"/>
    </xf>
    <xf numFmtId="4" fontId="16" fillId="4" borderId="33" xfId="0" applyNumberFormat="1" applyFont="1" applyFill="1" applyBorder="1"/>
    <xf numFmtId="0" fontId="16" fillId="0" borderId="22" xfId="0" applyFont="1" applyBorder="1" applyAlignment="1">
      <alignment horizontal="left"/>
    </xf>
    <xf numFmtId="0" fontId="16" fillId="0" borderId="22" xfId="0" applyFont="1" applyBorder="1" applyAlignment="1">
      <alignment horizontal="right"/>
    </xf>
    <xf numFmtId="0" fontId="17" fillId="0" borderId="29" xfId="0" applyFont="1" applyFill="1" applyBorder="1" applyAlignment="1">
      <alignment horizontal="left" vertical="top" wrapText="1"/>
    </xf>
    <xf numFmtId="22" fontId="17" fillId="0" borderId="29" xfId="0" applyNumberFormat="1" applyFont="1" applyFill="1" applyBorder="1" applyAlignment="1">
      <alignment horizontal="right" vertical="top"/>
    </xf>
    <xf numFmtId="4" fontId="17" fillId="0" borderId="29" xfId="0" applyNumberFormat="1" applyFont="1" applyFill="1" applyBorder="1" applyAlignment="1">
      <alignment horizontal="right" vertical="top"/>
    </xf>
    <xf numFmtId="0" fontId="17" fillId="0" borderId="0" xfId="0" applyFont="1" applyBorder="1" applyAlignment="1">
      <alignment vertical="top" wrapText="1"/>
    </xf>
    <xf numFmtId="0" fontId="17" fillId="0" borderId="0" xfId="0" applyFont="1" applyBorder="1" applyAlignment="1">
      <alignment vertical="top"/>
    </xf>
    <xf numFmtId="0" fontId="17" fillId="0" borderId="0" xfId="0" applyFont="1"/>
    <xf numFmtId="0" fontId="0" fillId="8" borderId="0" xfId="0" applyFill="1"/>
    <xf numFmtId="0" fontId="2" fillId="0" borderId="10" xfId="0" applyFont="1" applyBorder="1" applyAlignment="1">
      <alignment horizontal="right" wrapText="1"/>
    </xf>
    <xf numFmtId="0" fontId="2" fillId="0" borderId="32" xfId="0" applyFont="1" applyBorder="1" applyAlignment="1">
      <alignment vertical="top" wrapText="1"/>
    </xf>
    <xf numFmtId="4" fontId="0" fillId="0" borderId="34" xfId="0" applyNumberFormat="1" applyFill="1" applyBorder="1"/>
    <xf numFmtId="0" fontId="2" fillId="0" borderId="0" xfId="0" applyFont="1" applyAlignment="1">
      <alignment vertical="top"/>
    </xf>
    <xf numFmtId="0" fontId="2" fillId="0" borderId="0" xfId="0" applyFont="1" applyAlignment="1">
      <alignment vertical="top" wrapText="1"/>
    </xf>
    <xf numFmtId="14" fontId="2" fillId="0" borderId="29" xfId="0" applyNumberFormat="1" applyFont="1" applyFill="1" applyBorder="1" applyAlignment="1">
      <alignment horizontal="left" vertical="top"/>
    </xf>
    <xf numFmtId="0" fontId="2" fillId="0" borderId="29" xfId="0" applyFont="1" applyFill="1" applyBorder="1" applyAlignment="1">
      <alignment horizontal="left" vertical="top"/>
    </xf>
    <xf numFmtId="4" fontId="2" fillId="0" borderId="29" xfId="0" applyNumberFormat="1" applyFont="1" applyFill="1" applyBorder="1" applyAlignment="1">
      <alignment horizontal="right" vertical="top"/>
    </xf>
    <xf numFmtId="0" fontId="4" fillId="3" borderId="0" xfId="0" applyFont="1" applyFill="1" applyAlignment="1">
      <alignment vertical="top" wrapText="1"/>
    </xf>
    <xf numFmtId="0" fontId="2" fillId="5" borderId="0" xfId="0" applyFont="1" applyFill="1" applyAlignment="1">
      <alignment vertical="top"/>
    </xf>
    <xf numFmtId="0" fontId="0" fillId="5" borderId="0" xfId="0" applyFill="1" applyAlignment="1">
      <alignment vertical="top"/>
    </xf>
    <xf numFmtId="0" fontId="2" fillId="5" borderId="0" xfId="0" applyFont="1" applyFill="1" applyAlignment="1">
      <alignment vertical="top" wrapText="1"/>
    </xf>
    <xf numFmtId="0" fontId="0" fillId="5" borderId="0" xfId="0" applyFill="1" applyAlignment="1">
      <alignment vertical="top" wrapText="1"/>
    </xf>
    <xf numFmtId="0" fontId="2" fillId="0" borderId="0" xfId="0" applyFont="1" applyAlignment="1"/>
    <xf numFmtId="0" fontId="0" fillId="0" borderId="0" xfId="0" applyAlignment="1"/>
    <xf numFmtId="0" fontId="17" fillId="0" borderId="29" xfId="0" applyFont="1" applyFill="1" applyBorder="1" applyAlignment="1">
      <alignment horizontal="left" vertical="top" wrapText="1"/>
    </xf>
    <xf numFmtId="0" fontId="2" fillId="0" borderId="0" xfId="0" applyFont="1" applyAlignment="1">
      <alignment wrapText="1"/>
    </xf>
    <xf numFmtId="0" fontId="0" fillId="0" borderId="0" xfId="0" applyAlignment="1">
      <alignment wrapText="1"/>
    </xf>
    <xf numFmtId="0" fontId="2" fillId="0" borderId="29" xfId="0" applyFont="1" applyFill="1" applyBorder="1" applyAlignment="1">
      <alignment horizontal="left" vertical="top" wrapText="1"/>
    </xf>
  </cellXfs>
  <cellStyles count="1">
    <cellStyle name="Normal" xfId="0" builtinId="0"/>
  </cellStyles>
  <dxfs count="28">
    <dxf>
      <numFmt numFmtId="0" formatCode="General"/>
      <fill>
        <patternFill patternType="solid">
          <fgColor indexed="64"/>
          <bgColor theme="0" tint="-4.9989318521683403E-2"/>
        </patternFill>
      </fill>
    </dxf>
    <dxf>
      <numFmt numFmtId="4" formatCode="#,##0.00"/>
    </dxf>
    <dxf>
      <numFmt numFmtId="4" formatCode="#,##0.00"/>
    </dxf>
    <dxf>
      <font>
        <b val="0"/>
        <i val="0"/>
        <strike val="0"/>
        <condense val="0"/>
        <extend val="0"/>
        <outline val="0"/>
        <shadow val="0"/>
        <u val="none"/>
        <vertAlign val="baseline"/>
        <sz val="8"/>
        <color auto="1"/>
        <name val="Verdana"/>
        <family val="2"/>
        <scheme val="none"/>
      </font>
    </dxf>
    <dxf>
      <fill>
        <patternFill>
          <bgColor theme="9" tint="0.79998168889431442"/>
        </patternFill>
      </fill>
    </dxf>
    <dxf>
      <fill>
        <patternFill>
          <bgColor rgb="FFFF9999"/>
        </patternFill>
      </fill>
    </dxf>
    <dxf>
      <fill>
        <patternFill>
          <bgColor theme="9" tint="0.79998168889431442"/>
        </patternFill>
      </fill>
    </dxf>
    <dxf>
      <fill>
        <patternFill>
          <bgColor rgb="FFFF9999"/>
        </patternFill>
      </fill>
    </dxf>
    <dxf>
      <fill>
        <patternFill>
          <bgColor theme="9" tint="0.79998168889431442"/>
        </patternFill>
      </fill>
    </dxf>
    <dxf>
      <fill>
        <patternFill>
          <bgColor rgb="FFFF9999"/>
        </patternFill>
      </fill>
    </dxf>
    <dxf>
      <fill>
        <patternFill>
          <bgColor theme="9" tint="0.79998168889431442"/>
        </patternFill>
      </fill>
    </dxf>
    <dxf>
      <fill>
        <patternFill>
          <bgColor rgb="FFFF9999"/>
        </patternFill>
      </fill>
    </dxf>
    <dxf>
      <fill>
        <patternFill>
          <bgColor theme="9" tint="0.79998168889431442"/>
        </patternFill>
      </fill>
    </dxf>
    <dxf>
      <fill>
        <patternFill>
          <bgColor rgb="FFFF9999"/>
        </patternFill>
      </fill>
    </dxf>
    <dxf>
      <fill>
        <patternFill>
          <bgColor theme="9" tint="0.79998168889431442"/>
        </patternFill>
      </fill>
    </dxf>
    <dxf>
      <fill>
        <patternFill>
          <bgColor rgb="FFFF9999"/>
        </patternFill>
      </fill>
    </dxf>
    <dxf>
      <fill>
        <patternFill>
          <bgColor theme="9" tint="0.79998168889431442"/>
        </patternFill>
      </fill>
    </dxf>
    <dxf>
      <fill>
        <patternFill>
          <bgColor rgb="FFFF9999"/>
        </patternFill>
      </fill>
    </dxf>
    <dxf>
      <fill>
        <patternFill>
          <bgColor theme="9" tint="0.79998168889431442"/>
        </patternFill>
      </fill>
    </dxf>
    <dxf>
      <fill>
        <patternFill>
          <bgColor rgb="FFFF9999"/>
        </patternFill>
      </fill>
    </dxf>
    <dxf>
      <fill>
        <patternFill>
          <bgColor theme="9" tint="0.79998168889431442"/>
        </patternFill>
      </fill>
    </dxf>
    <dxf>
      <fill>
        <patternFill>
          <bgColor rgb="FFFF9999"/>
        </patternFill>
      </fill>
    </dxf>
    <dxf>
      <fill>
        <patternFill>
          <bgColor theme="9" tint="0.79998168889431442"/>
        </patternFill>
      </fill>
    </dxf>
    <dxf>
      <fill>
        <patternFill>
          <bgColor rgb="FFFF9999"/>
        </patternFill>
      </fill>
    </dxf>
    <dxf>
      <fill>
        <patternFill>
          <bgColor theme="9" tint="0.79998168889431442"/>
        </patternFill>
      </fill>
    </dxf>
    <dxf>
      <fill>
        <patternFill>
          <bgColor rgb="FFFF9999"/>
        </patternFill>
      </fill>
    </dxf>
    <dxf>
      <fill>
        <patternFill>
          <bgColor theme="9" tint="0.79998168889431442"/>
        </patternFill>
      </fill>
    </dxf>
    <dxf>
      <fill>
        <patternFill>
          <bgColor rgb="FFFF9999"/>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F8F8F8"/>
      <rgbColor rgb="00993366"/>
      <rgbColor rgb="00FFFFCC"/>
      <rgbColor rgb="00CCFFFF"/>
      <rgbColor rgb="00660066"/>
      <rgbColor rgb="00FF8080"/>
      <rgbColor rgb="000066CC"/>
      <rgbColor rgb="00CCCCFF"/>
      <rgbColor rgb="00EAEAEA"/>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CCFFCC"/>
      <color rgb="FF008000"/>
      <color rgb="FFFF9999"/>
      <color rgb="FF663300"/>
      <color rgb="FFFFFFCC"/>
      <color rgb="FFCC9900"/>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8</xdr:col>
      <xdr:colOff>800101</xdr:colOff>
      <xdr:row>0</xdr:row>
      <xdr:rowOff>19050</xdr:rowOff>
    </xdr:from>
    <xdr:to>
      <xdr:col>10</xdr:col>
      <xdr:colOff>0</xdr:colOff>
      <xdr:row>1</xdr:row>
      <xdr:rowOff>4733</xdr:rowOff>
    </xdr:to>
    <xdr:pic>
      <xdr:nvPicPr>
        <xdr:cNvPr id="5" name="Picture 4">
          <a:extLst>
            <a:ext uri="{FF2B5EF4-FFF2-40B4-BE49-F238E27FC236}">
              <a16:creationId xmlns:a16="http://schemas.microsoft.com/office/drawing/2014/main" id="{FC197F9C-AAF6-419E-87A5-01EAEC212C7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648326" y="19050"/>
          <a:ext cx="895349" cy="414308"/>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FE28690-5D33-4AAE-B822-FCBCBFEBA85E}" name="Contacts" displayName="Contacts" ref="A1:G2" totalsRowShown="0" headerRowDxfId="3">
  <autoFilter ref="A1:G2" xr:uid="{9F9BAD41-D958-4056-AE4E-356D7AB0538A}"/>
  <tableColumns count="7">
    <tableColumn id="1" xr3:uid="{E2A41DD6-AF20-4AEF-BFBC-E605D87E1F73}" name="Code"/>
    <tableColumn id="2" xr3:uid="{32DCE821-9374-4641-A6B4-7053A4C91DC4}" name="Bill To Name"/>
    <tableColumn id="3" xr3:uid="{D2DB8BCA-2465-4955-93F7-052B570C9088}" name="Bill To Address"/>
    <tableColumn id="4" xr3:uid="{8E000228-61BF-4523-B993-814F61CFA856}" name="Bill To City State Zip"/>
    <tableColumn id="5" xr3:uid="{A8E87A1E-3B83-43DE-B8CA-91F5F89820D7}" name="Ship To Name"/>
    <tableColumn id="6" xr3:uid="{1DA90E8E-BCEE-4FEF-A08F-6F76CEDEA21F}" name="Ship To Address"/>
    <tableColumn id="7" xr3:uid="{BF62AD95-4C28-4BC9-A39F-9BC5E2E383D1}" name="Ship To City State Zip"/>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A868802-885B-4655-AC5C-7220D38B8A07}" name="Services" displayName="Services" ref="A1:E2" insertRow="1" totalsRowShown="0">
  <autoFilter ref="A1:E2" xr:uid="{CE2E1682-EC53-4FBE-B0F3-95C89CC16C90}"/>
  <tableColumns count="5">
    <tableColumn id="1" xr3:uid="{FE3D237E-3F9F-4AAF-8DF3-85BB751D8844}" name="Customer"/>
    <tableColumn id="2" xr3:uid="{9C172B66-3ED8-46F9-8FB6-88FE4961AF9F}" name="Service"/>
    <tableColumn id="3" xr3:uid="{B4633696-4EC7-4F55-996C-86A8C7008193}" name="Rate per hr" dataDxfId="2"/>
    <tableColumn id="4" xr3:uid="{BF362681-B965-4256-A078-7C7FB4A0F5ED}" name="Commission" dataDxfId="1"/>
    <tableColumn id="5" xr3:uid="{4244AFBB-F28C-462F-831C-11CFA1DE2399}" name="CustomerService" dataDxfId="0">
      <calculatedColumnFormula>IF(AND(LEN(Services[[#This Row],[Customer]])&gt;0,LEN(Services[[#This Row],[Service]])&gt;0),CONCATENATE(Services[[#This Row],[Customer]],"_",Services[[#This Row],[Service]]),"")</calculatedColumnFormula>
    </tableColumn>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6"/>
  <dimension ref="A1:C19"/>
  <sheetViews>
    <sheetView tabSelected="1" workbookViewId="0">
      <pane ySplit="1" topLeftCell="A2" activePane="bottomLeft" state="frozen"/>
      <selection pane="bottomLeft" activeCell="A2" sqref="A2"/>
    </sheetView>
  </sheetViews>
  <sheetFormatPr defaultRowHeight="10.199999999999999" x14ac:dyDescent="0.2"/>
  <cols>
    <col min="1" max="1" width="13.875" style="30" bestFit="1" customWidth="1"/>
    <col min="2" max="2" width="39.125" style="30" customWidth="1"/>
    <col min="3" max="3" width="28.75" style="33" customWidth="1"/>
  </cols>
  <sheetData>
    <row r="1" spans="1:3" ht="10.8" thickBot="1" x14ac:dyDescent="0.25">
      <c r="A1" s="29" t="s">
        <v>61</v>
      </c>
      <c r="B1" s="29" t="s">
        <v>62</v>
      </c>
      <c r="C1" s="32" t="s">
        <v>64</v>
      </c>
    </row>
    <row r="2" spans="1:3" ht="21" thickBot="1" x14ac:dyDescent="0.25">
      <c r="A2" s="77" t="s">
        <v>119</v>
      </c>
      <c r="B2" s="78" t="s">
        <v>155</v>
      </c>
      <c r="C2" s="31" t="s">
        <v>120</v>
      </c>
    </row>
    <row r="3" spans="1:3" ht="21" thickBot="1" x14ac:dyDescent="0.25">
      <c r="A3" s="77" t="s">
        <v>121</v>
      </c>
      <c r="B3" s="106" t="s">
        <v>154</v>
      </c>
      <c r="C3" s="31" t="s">
        <v>122</v>
      </c>
    </row>
    <row r="4" spans="1:3" ht="21" thickBot="1" x14ac:dyDescent="0.25">
      <c r="A4" s="37" t="s">
        <v>63</v>
      </c>
      <c r="B4" s="34">
        <v>70</v>
      </c>
      <c r="C4" s="35" t="s">
        <v>66</v>
      </c>
    </row>
    <row r="5" spans="1:3" ht="21" thickBot="1" x14ac:dyDescent="0.25">
      <c r="A5" s="38" t="s">
        <v>67</v>
      </c>
      <c r="B5" s="34">
        <v>0</v>
      </c>
      <c r="C5" s="31" t="s">
        <v>68</v>
      </c>
    </row>
    <row r="6" spans="1:3" ht="31.2" thickBot="1" x14ac:dyDescent="0.25">
      <c r="A6" s="38" t="s">
        <v>52</v>
      </c>
      <c r="B6" s="39" t="s">
        <v>53</v>
      </c>
      <c r="C6" s="31" t="s">
        <v>65</v>
      </c>
    </row>
    <row r="7" spans="1:3" ht="41.4" thickBot="1" x14ac:dyDescent="0.25">
      <c r="A7" s="76" t="s">
        <v>151</v>
      </c>
      <c r="B7" s="41">
        <v>1</v>
      </c>
      <c r="C7" s="31" t="s">
        <v>152</v>
      </c>
    </row>
    <row r="8" spans="1:3" ht="51.6" thickBot="1" x14ac:dyDescent="0.25">
      <c r="A8" s="76" t="s">
        <v>110</v>
      </c>
      <c r="B8" s="41">
        <v>2020032702</v>
      </c>
      <c r="C8" s="31" t="s">
        <v>111</v>
      </c>
    </row>
    <row r="9" spans="1:3" ht="10.8" thickBot="1" x14ac:dyDescent="0.25">
      <c r="A9" s="76" t="s">
        <v>149</v>
      </c>
      <c r="B9" s="41">
        <v>20.032699999999998</v>
      </c>
      <c r="C9" s="31" t="s">
        <v>150</v>
      </c>
    </row>
    <row r="10" spans="1:3" ht="21" hidden="1" thickBot="1" x14ac:dyDescent="0.25">
      <c r="A10" s="40" t="s">
        <v>70</v>
      </c>
      <c r="B10" s="41" t="s">
        <v>72</v>
      </c>
      <c r="C10" s="31" t="s">
        <v>76</v>
      </c>
    </row>
    <row r="11" spans="1:3" ht="31.2" hidden="1" thickBot="1" x14ac:dyDescent="0.25">
      <c r="A11" s="40" t="s">
        <v>69</v>
      </c>
      <c r="B11" s="42" t="s">
        <v>79</v>
      </c>
      <c r="C11" s="35" t="s">
        <v>71</v>
      </c>
    </row>
    <row r="12" spans="1:3" x14ac:dyDescent="0.2">
      <c r="A12" s="108"/>
      <c r="C12" s="109"/>
    </row>
    <row r="15" spans="1:3" ht="58.5" hidden="1" customHeight="1" x14ac:dyDescent="0.2">
      <c r="A15" s="113" t="s">
        <v>78</v>
      </c>
      <c r="B15" s="113"/>
      <c r="C15" s="113"/>
    </row>
    <row r="16" spans="1:3" hidden="1" x14ac:dyDescent="0.2">
      <c r="A16" s="114" t="s">
        <v>73</v>
      </c>
      <c r="B16" s="115"/>
      <c r="C16" s="115"/>
    </row>
    <row r="17" spans="1:3" ht="26.25" hidden="1" customHeight="1" x14ac:dyDescent="0.2">
      <c r="A17" s="113" t="s">
        <v>75</v>
      </c>
      <c r="B17" s="113"/>
      <c r="C17" s="113"/>
    </row>
    <row r="18" spans="1:3" ht="21.75" hidden="1" customHeight="1" x14ac:dyDescent="0.2">
      <c r="A18" s="116" t="s">
        <v>74</v>
      </c>
      <c r="B18" s="117"/>
      <c r="C18" s="117"/>
    </row>
    <row r="19" spans="1:3" ht="69.75" hidden="1" customHeight="1" x14ac:dyDescent="0.2">
      <c r="A19" s="113" t="s">
        <v>77</v>
      </c>
      <c r="B19" s="113"/>
      <c r="C19" s="113"/>
    </row>
  </sheetData>
  <mergeCells count="5">
    <mergeCell ref="A15:C15"/>
    <mergeCell ref="A16:C16"/>
    <mergeCell ref="A17:C17"/>
    <mergeCell ref="A18:C18"/>
    <mergeCell ref="A19:C1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I71"/>
  <sheetViews>
    <sheetView workbookViewId="0">
      <selection activeCell="A4" sqref="A4"/>
    </sheetView>
  </sheetViews>
  <sheetFormatPr defaultRowHeight="10.199999999999999" x14ac:dyDescent="0.2"/>
  <cols>
    <col min="1" max="1" width="17.375" customWidth="1"/>
    <col min="4" max="4" width="10" customWidth="1"/>
  </cols>
  <sheetData>
    <row r="1" spans="1:5" ht="16.2" x14ac:dyDescent="0.3">
      <c r="A1" s="28" t="s">
        <v>2</v>
      </c>
    </row>
    <row r="3" spans="1:5" ht="10.8" thickBot="1" x14ac:dyDescent="0.25">
      <c r="A3" s="10" t="s">
        <v>144</v>
      </c>
    </row>
    <row r="4" spans="1:5" ht="10.8" thickBot="1" x14ac:dyDescent="0.25">
      <c r="A4" s="43" t="s">
        <v>147</v>
      </c>
      <c r="B4" s="26">
        <v>0</v>
      </c>
      <c r="C4" s="43" t="s">
        <v>93</v>
      </c>
      <c r="D4" s="43" t="s">
        <v>148</v>
      </c>
      <c r="E4" s="36">
        <f>IFERROR(B4/((100-B5)/100),B4)</f>
        <v>0</v>
      </c>
    </row>
    <row r="5" spans="1:5" x14ac:dyDescent="0.2">
      <c r="A5" s="43" t="s">
        <v>146</v>
      </c>
      <c r="B5" s="26">
        <v>0</v>
      </c>
      <c r="C5" s="43" t="s">
        <v>145</v>
      </c>
      <c r="D5" s="43"/>
      <c r="E5" s="107"/>
    </row>
    <row r="7" spans="1:5" x14ac:dyDescent="0.2">
      <c r="A7" s="10" t="s">
        <v>12</v>
      </c>
    </row>
    <row r="8" spans="1:5" x14ac:dyDescent="0.2">
      <c r="A8" t="s">
        <v>3</v>
      </c>
      <c r="B8" s="4">
        <v>20</v>
      </c>
      <c r="C8" s="4"/>
    </row>
    <row r="9" spans="1:5" x14ac:dyDescent="0.2">
      <c r="A9" t="s">
        <v>16</v>
      </c>
      <c r="B9" s="4">
        <v>40</v>
      </c>
      <c r="C9" s="4"/>
    </row>
    <row r="10" spans="1:5" x14ac:dyDescent="0.2">
      <c r="A10" t="s">
        <v>4</v>
      </c>
      <c r="B10" s="5"/>
      <c r="C10" s="5">
        <f>B9-B8</f>
        <v>20</v>
      </c>
    </row>
    <row r="11" spans="1:5" x14ac:dyDescent="0.2">
      <c r="A11" t="s">
        <v>5</v>
      </c>
      <c r="B11" s="22">
        <v>0.3125</v>
      </c>
      <c r="C11" s="5">
        <f>GetDecimalTime(B11)</f>
        <v>7.5</v>
      </c>
    </row>
    <row r="12" spans="1:5" x14ac:dyDescent="0.2">
      <c r="A12" t="s">
        <v>9</v>
      </c>
      <c r="B12" s="6"/>
      <c r="C12" s="5"/>
    </row>
    <row r="13" spans="1:5" x14ac:dyDescent="0.2">
      <c r="A13" t="s">
        <v>6</v>
      </c>
      <c r="B13" s="5"/>
      <c r="C13" s="7">
        <f>C10+C11+B12</f>
        <v>27.5</v>
      </c>
      <c r="D13" s="23">
        <f>GetClockTime(C13)</f>
        <v>0.14583333333333334</v>
      </c>
    </row>
    <row r="16" spans="1:5" x14ac:dyDescent="0.2">
      <c r="A16" s="10" t="s">
        <v>7</v>
      </c>
    </row>
    <row r="17" spans="1:4" x14ac:dyDescent="0.2">
      <c r="A17" t="s">
        <v>5</v>
      </c>
      <c r="B17" s="21">
        <v>0.27083333333333331</v>
      </c>
      <c r="C17" s="5">
        <f>GetDecimalTime(TEXT(B17,"hh:mm"))</f>
        <v>6.5</v>
      </c>
    </row>
    <row r="18" spans="1:4" x14ac:dyDescent="0.2">
      <c r="A18" t="s">
        <v>8</v>
      </c>
      <c r="B18">
        <v>3</v>
      </c>
      <c r="C18" s="5"/>
    </row>
    <row r="19" spans="1:4" x14ac:dyDescent="0.2">
      <c r="A19" t="s">
        <v>9</v>
      </c>
      <c r="B19" s="2">
        <v>1.5</v>
      </c>
      <c r="C19" s="5"/>
    </row>
    <row r="20" spans="1:4" x14ac:dyDescent="0.2">
      <c r="A20" t="s">
        <v>6</v>
      </c>
      <c r="B20" s="5"/>
      <c r="C20" s="5">
        <f>C17+(B18+B19)</f>
        <v>11</v>
      </c>
      <c r="D20" s="24">
        <f>GetClockTime(C20)</f>
        <v>0.45833333333333331</v>
      </c>
    </row>
    <row r="23" spans="1:4" ht="16.2" x14ac:dyDescent="0.3">
      <c r="A23" s="28" t="s">
        <v>15</v>
      </c>
    </row>
    <row r="24" spans="1:4" x14ac:dyDescent="0.2">
      <c r="A24" t="s">
        <v>10</v>
      </c>
      <c r="B24" s="3">
        <v>1.7361111111111112E-2</v>
      </c>
      <c r="C24" s="9">
        <f>GetDecimalTime(B24)</f>
        <v>0.41666666666666669</v>
      </c>
    </row>
    <row r="26" spans="1:4" x14ac:dyDescent="0.2">
      <c r="A26" t="s">
        <v>11</v>
      </c>
      <c r="B26">
        <v>5.3</v>
      </c>
      <c r="C26" s="8">
        <f>GetClockTime(B26)</f>
        <v>0.22013888888888888</v>
      </c>
    </row>
    <row r="28" spans="1:4" x14ac:dyDescent="0.2">
      <c r="A28" t="s">
        <v>13</v>
      </c>
      <c r="B28" s="21">
        <v>0.43055555555555558</v>
      </c>
    </row>
    <row r="29" spans="1:4" x14ac:dyDescent="0.2">
      <c r="A29" t="s">
        <v>14</v>
      </c>
      <c r="B29" s="21">
        <v>0.44791666666666669</v>
      </c>
    </row>
    <row r="30" spans="1:4" x14ac:dyDescent="0.2">
      <c r="A30" t="s">
        <v>8</v>
      </c>
      <c r="C30" s="9">
        <f>GetDecimalTime(B29)-GetDecimalTime(B28)</f>
        <v>0.41666666666666607</v>
      </c>
    </row>
    <row r="33" spans="1:8" x14ac:dyDescent="0.2">
      <c r="A33" s="10" t="s">
        <v>20</v>
      </c>
    </row>
    <row r="34" spans="1:8" x14ac:dyDescent="0.2">
      <c r="A34" t="s">
        <v>17</v>
      </c>
      <c r="B34">
        <v>32.68</v>
      </c>
    </row>
    <row r="35" spans="1:8" x14ac:dyDescent="0.2">
      <c r="A35" t="s">
        <v>22</v>
      </c>
      <c r="B35" t="s">
        <v>39</v>
      </c>
    </row>
    <row r="36" spans="1:8" x14ac:dyDescent="0.2">
      <c r="A36" t="s">
        <v>18</v>
      </c>
      <c r="B36" s="5">
        <f>IF(LOWER(B35)="mon",4,IF(LOWER(B35)="tue",3,IF(LOWER(B35)="wed",2,IF(LOWER(B35)="thu",1,0))))</f>
        <v>0</v>
      </c>
    </row>
    <row r="37" spans="1:8" x14ac:dyDescent="0.2">
      <c r="A37" t="s">
        <v>19</v>
      </c>
      <c r="B37" s="23">
        <f>GetClockTime(7.5+(40-(B34+(8*B36))))</f>
        <v>0.61736111111111114</v>
      </c>
    </row>
    <row r="40" spans="1:8" x14ac:dyDescent="0.2">
      <c r="A40" s="10" t="s">
        <v>90</v>
      </c>
      <c r="E40" s="10" t="s">
        <v>91</v>
      </c>
    </row>
    <row r="41" spans="1:8" x14ac:dyDescent="0.2">
      <c r="A41" s="43" t="s">
        <v>80</v>
      </c>
      <c r="B41" s="45">
        <v>0.03</v>
      </c>
      <c r="D41" s="49"/>
      <c r="E41" s="118" t="s">
        <v>92</v>
      </c>
      <c r="F41" s="119"/>
      <c r="G41" s="13">
        <v>14</v>
      </c>
      <c r="H41" s="46" t="s">
        <v>93</v>
      </c>
    </row>
    <row r="42" spans="1:8" ht="10.8" thickBot="1" x14ac:dyDescent="0.25">
      <c r="A42" s="44" t="s">
        <v>81</v>
      </c>
      <c r="B42" s="47">
        <v>40</v>
      </c>
      <c r="C42" s="46" t="s">
        <v>82</v>
      </c>
      <c r="D42" s="49"/>
      <c r="E42" s="118" t="s">
        <v>94</v>
      </c>
      <c r="F42" s="119"/>
      <c r="G42" s="51">
        <v>5</v>
      </c>
      <c r="H42" s="46" t="s">
        <v>82</v>
      </c>
    </row>
    <row r="43" spans="1:8" ht="10.8" thickBot="1" x14ac:dyDescent="0.25">
      <c r="A43" s="44" t="s">
        <v>83</v>
      </c>
      <c r="B43" s="48">
        <f>B41/ConvertTime(B42,C42,"sec")</f>
        <v>7.5000000000000002E-4</v>
      </c>
      <c r="C43" s="43"/>
      <c r="D43" s="49"/>
      <c r="E43" s="118" t="s">
        <v>95</v>
      </c>
      <c r="F43" s="119"/>
      <c r="G43" s="48">
        <f>(G41*ConvertTime(1,H41,"hr"))*(G42*ConvertTime(1,H42,"hr"))</f>
        <v>1.944446E-2</v>
      </c>
    </row>
    <row r="44" spans="1:8" ht="10.8" thickBot="1" x14ac:dyDescent="0.25">
      <c r="A44" s="44" t="s">
        <v>84</v>
      </c>
      <c r="B44" s="48">
        <f>B43*60</f>
        <v>4.4999999999999998E-2</v>
      </c>
      <c r="C44" s="43"/>
      <c r="D44" s="49"/>
      <c r="E44" s="50"/>
      <c r="F44" s="50"/>
    </row>
    <row r="45" spans="1:8" ht="10.8" thickBot="1" x14ac:dyDescent="0.25">
      <c r="A45" s="52" t="s">
        <v>85</v>
      </c>
      <c r="B45" s="53">
        <f>B44*60</f>
        <v>2.6999999999999997</v>
      </c>
      <c r="C45" s="43"/>
      <c r="D45" s="49"/>
      <c r="E45" s="50"/>
      <c r="F45" s="50"/>
    </row>
    <row r="46" spans="1:8" ht="10.8" thickBot="1" x14ac:dyDescent="0.25">
      <c r="A46" s="44" t="s">
        <v>86</v>
      </c>
      <c r="B46" s="36">
        <f>B45*8</f>
        <v>21.599999999999998</v>
      </c>
      <c r="C46" s="43"/>
      <c r="D46" s="49"/>
      <c r="E46" s="50"/>
      <c r="F46" s="50"/>
    </row>
    <row r="47" spans="1:8" ht="10.8" thickBot="1" x14ac:dyDescent="0.25">
      <c r="A47" s="44" t="s">
        <v>87</v>
      </c>
      <c r="B47" s="36">
        <f>B46*5</f>
        <v>107.99999999999999</v>
      </c>
      <c r="C47" s="43"/>
      <c r="D47" s="49"/>
      <c r="E47" s="50"/>
      <c r="F47" s="50"/>
    </row>
    <row r="48" spans="1:8" ht="10.8" thickBot="1" x14ac:dyDescent="0.25">
      <c r="A48" s="44" t="s">
        <v>88</v>
      </c>
      <c r="B48" s="36">
        <f>B49/12</f>
        <v>467.99999999999994</v>
      </c>
      <c r="D48" s="49"/>
      <c r="E48" s="50"/>
      <c r="F48" s="50"/>
    </row>
    <row r="49" spans="1:9" ht="10.8" thickBot="1" x14ac:dyDescent="0.25">
      <c r="A49" s="44" t="s">
        <v>89</v>
      </c>
      <c r="B49" s="36">
        <f>B47*52</f>
        <v>5615.9999999999991</v>
      </c>
      <c r="D49" s="49"/>
      <c r="E49" s="50"/>
      <c r="F49" s="50"/>
    </row>
    <row r="51" spans="1:9" x14ac:dyDescent="0.2">
      <c r="A51" s="10" t="s">
        <v>23</v>
      </c>
    </row>
    <row r="52" spans="1:9" x14ac:dyDescent="0.2">
      <c r="B52" s="10" t="s">
        <v>32</v>
      </c>
      <c r="C52" s="10" t="s">
        <v>27</v>
      </c>
      <c r="D52" s="10" t="s">
        <v>28</v>
      </c>
      <c r="E52" s="10" t="s">
        <v>29</v>
      </c>
      <c r="F52" s="10" t="s">
        <v>30</v>
      </c>
      <c r="G52" s="10" t="s">
        <v>31</v>
      </c>
      <c r="H52" s="10" t="s">
        <v>26</v>
      </c>
    </row>
    <row r="53" spans="1:9" x14ac:dyDescent="0.2">
      <c r="A53" t="s">
        <v>24</v>
      </c>
      <c r="B53" s="11">
        <v>10</v>
      </c>
      <c r="C53" s="11">
        <v>5</v>
      </c>
      <c r="D53" s="11"/>
      <c r="E53" s="11"/>
      <c r="F53" s="11"/>
      <c r="G53" s="11"/>
      <c r="H53" s="12">
        <f>B53-SUM(C53:G53)</f>
        <v>5</v>
      </c>
    </row>
    <row r="54" spans="1:9" x14ac:dyDescent="0.2">
      <c r="A54" t="s">
        <v>25</v>
      </c>
      <c r="B54" s="11">
        <v>3</v>
      </c>
      <c r="C54" s="11">
        <v>1</v>
      </c>
      <c r="D54" s="11">
        <v>1</v>
      </c>
      <c r="E54" s="11"/>
      <c r="F54" s="11"/>
      <c r="G54" s="11"/>
      <c r="H54" s="12">
        <f>B54-SUM(C54:G54)</f>
        <v>1</v>
      </c>
    </row>
    <row r="55" spans="1:9" x14ac:dyDescent="0.2">
      <c r="A55" t="s">
        <v>33</v>
      </c>
      <c r="B55" s="11">
        <v>4</v>
      </c>
      <c r="C55" s="11">
        <v>1</v>
      </c>
      <c r="D55" s="11"/>
      <c r="E55" s="11"/>
      <c r="F55" s="11"/>
      <c r="G55" s="11"/>
      <c r="H55" s="12">
        <f>B55-SUM(C55:G55)</f>
        <v>3</v>
      </c>
    </row>
    <row r="60" spans="1:9" x14ac:dyDescent="0.2">
      <c r="A60" s="10" t="s">
        <v>34</v>
      </c>
      <c r="B60" s="10" t="s">
        <v>35</v>
      </c>
      <c r="C60" s="10" t="s">
        <v>37</v>
      </c>
      <c r="D60" s="10" t="s">
        <v>38</v>
      </c>
      <c r="E60" s="10" t="s">
        <v>21</v>
      </c>
      <c r="F60" s="10" t="s">
        <v>39</v>
      </c>
      <c r="G60" s="10" t="s">
        <v>40</v>
      </c>
      <c r="H60" s="10" t="s">
        <v>41</v>
      </c>
      <c r="I60" s="10" t="s">
        <v>36</v>
      </c>
    </row>
    <row r="61" spans="1:9" x14ac:dyDescent="0.2">
      <c r="B61" s="13">
        <v>12</v>
      </c>
      <c r="C61" s="13">
        <v>8.9</v>
      </c>
      <c r="D61" s="13">
        <v>9.6300000000000008</v>
      </c>
      <c r="E61" s="13">
        <v>3.48</v>
      </c>
      <c r="F61" s="13">
        <v>0</v>
      </c>
      <c r="G61" s="13">
        <v>0</v>
      </c>
      <c r="H61" s="13">
        <v>0</v>
      </c>
      <c r="I61" s="14">
        <f>SUM(B61:H61)</f>
        <v>34.01</v>
      </c>
    </row>
    <row r="64" spans="1:9" x14ac:dyDescent="0.2">
      <c r="A64" s="10" t="s">
        <v>47</v>
      </c>
      <c r="B64" s="10" t="s">
        <v>35</v>
      </c>
      <c r="C64" s="10" t="s">
        <v>37</v>
      </c>
      <c r="D64" s="10" t="s">
        <v>38</v>
      </c>
      <c r="E64" s="10" t="s">
        <v>21</v>
      </c>
      <c r="F64" s="10" t="s">
        <v>39</v>
      </c>
      <c r="G64" s="10" t="s">
        <v>40</v>
      </c>
      <c r="H64" s="10" t="s">
        <v>41</v>
      </c>
      <c r="I64" s="10" t="s">
        <v>36</v>
      </c>
    </row>
    <row r="65" spans="1:9" x14ac:dyDescent="0.2">
      <c r="A65" s="17" t="s">
        <v>48</v>
      </c>
      <c r="B65" s="25"/>
      <c r="C65" s="18"/>
      <c r="D65" s="18"/>
      <c r="E65" s="18"/>
      <c r="F65" s="18"/>
      <c r="G65" s="13"/>
      <c r="H65" s="13"/>
    </row>
    <row r="66" spans="1:9" x14ac:dyDescent="0.2">
      <c r="A66" s="17" t="s">
        <v>49</v>
      </c>
      <c r="B66" s="25"/>
      <c r="C66" s="18"/>
      <c r="D66" s="18"/>
      <c r="E66" s="18"/>
      <c r="F66" s="13"/>
      <c r="G66" s="13"/>
      <c r="H66" s="13"/>
    </row>
    <row r="67" spans="1:9" x14ac:dyDescent="0.2">
      <c r="A67" s="17" t="s">
        <v>50</v>
      </c>
      <c r="B67" s="19">
        <f t="shared" ref="B67:H67" si="0">IF(AND(LEN(B66)&gt;0,B66&lt;&gt;0),GetDecimalTime(B66)-GetDecimalTime(B65),0)</f>
        <v>0</v>
      </c>
      <c r="C67" s="19">
        <f t="shared" si="0"/>
        <v>0</v>
      </c>
      <c r="D67" s="19">
        <f t="shared" si="0"/>
        <v>0</v>
      </c>
      <c r="E67" s="19">
        <f t="shared" si="0"/>
        <v>0</v>
      </c>
      <c r="F67" s="19">
        <f t="shared" si="0"/>
        <v>0</v>
      </c>
      <c r="G67" s="19">
        <f t="shared" si="0"/>
        <v>0</v>
      </c>
      <c r="H67" s="19">
        <f t="shared" si="0"/>
        <v>0</v>
      </c>
      <c r="I67" s="20">
        <f>SUM(B67:H67)</f>
        <v>0</v>
      </c>
    </row>
    <row r="71" spans="1:9" x14ac:dyDescent="0.2">
      <c r="B71" s="3"/>
      <c r="C71" s="21"/>
    </row>
  </sheetData>
  <mergeCells count="3">
    <mergeCell ref="E41:F41"/>
    <mergeCell ref="E42:F42"/>
    <mergeCell ref="E43:F43"/>
  </mergeCells>
  <phoneticPr fontId="0" type="noConversion"/>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dimension ref="A1:J370"/>
  <sheetViews>
    <sheetView workbookViewId="0">
      <pane ySplit="1" topLeftCell="A2" activePane="bottomLeft" state="frozen"/>
      <selection pane="bottomLeft" activeCell="A2" sqref="A2"/>
    </sheetView>
  </sheetViews>
  <sheetFormatPr defaultRowHeight="10.199999999999999" x14ac:dyDescent="0.2"/>
  <cols>
    <col min="1" max="1" width="10.25" bestFit="1" customWidth="1"/>
  </cols>
  <sheetData>
    <row r="1" spans="1:10" x14ac:dyDescent="0.2">
      <c r="A1" s="10" t="s">
        <v>51</v>
      </c>
      <c r="B1" s="10"/>
      <c r="C1" s="10" t="s">
        <v>35</v>
      </c>
      <c r="D1" s="10" t="s">
        <v>37</v>
      </c>
      <c r="E1" s="10" t="s">
        <v>38</v>
      </c>
      <c r="F1" s="10" t="s">
        <v>21</v>
      </c>
      <c r="G1" s="10" t="s">
        <v>39</v>
      </c>
      <c r="H1" s="10" t="s">
        <v>40</v>
      </c>
      <c r="I1" s="10" t="s">
        <v>41</v>
      </c>
      <c r="J1" s="10" t="s">
        <v>36</v>
      </c>
    </row>
    <row r="2" spans="1:10" x14ac:dyDescent="0.2">
      <c r="A2" s="15">
        <v>43829</v>
      </c>
      <c r="B2" s="17" t="s">
        <v>48</v>
      </c>
      <c r="C2" s="25"/>
      <c r="D2" s="25"/>
      <c r="E2" s="25"/>
      <c r="F2" s="25"/>
      <c r="G2" s="25"/>
      <c r="H2" s="25"/>
      <c r="I2" s="25"/>
    </row>
    <row r="3" spans="1:10" x14ac:dyDescent="0.2">
      <c r="A3" s="15"/>
      <c r="B3" s="17" t="s">
        <v>49</v>
      </c>
      <c r="C3" s="25"/>
      <c r="D3" s="25"/>
      <c r="E3" s="25"/>
      <c r="F3" s="25"/>
      <c r="G3" s="25"/>
      <c r="H3" s="25"/>
      <c r="I3" s="25"/>
    </row>
    <row r="4" spans="1:10" x14ac:dyDescent="0.2">
      <c r="A4" s="15"/>
      <c r="B4" s="17" t="s">
        <v>48</v>
      </c>
      <c r="C4" s="25"/>
      <c r="D4" s="25"/>
      <c r="E4" s="25"/>
      <c r="F4" s="25"/>
      <c r="G4" s="25"/>
      <c r="H4" s="25"/>
      <c r="I4" s="25"/>
    </row>
    <row r="5" spans="1:10" x14ac:dyDescent="0.2">
      <c r="B5" s="17" t="s">
        <v>49</v>
      </c>
      <c r="C5" s="25"/>
      <c r="D5" s="25"/>
      <c r="E5" s="25"/>
      <c r="F5" s="25"/>
      <c r="G5" s="25"/>
      <c r="H5" s="25"/>
      <c r="I5" s="25"/>
    </row>
    <row r="6" spans="1:10" x14ac:dyDescent="0.2">
      <c r="B6" s="17" t="s">
        <v>50</v>
      </c>
      <c r="C6" s="19">
        <f t="shared" ref="C6:I6" si="0">IF(AND(LEN(C3)&gt;0,C3&lt;&gt;0),GetDecimalTime(C3)-GetDecimalTime(C2),0)+IF(AND(LEN(C5)&gt;0,C5&lt;&gt;0),GetDecimalTime(C5)-GetDecimalTime(C4),0)</f>
        <v>0</v>
      </c>
      <c r="D6" s="19">
        <f t="shared" si="0"/>
        <v>0</v>
      </c>
      <c r="E6" s="19">
        <f t="shared" si="0"/>
        <v>0</v>
      </c>
      <c r="F6" s="19">
        <f t="shared" si="0"/>
        <v>0</v>
      </c>
      <c r="G6" s="19">
        <f t="shared" si="0"/>
        <v>0</v>
      </c>
      <c r="H6" s="19">
        <f t="shared" si="0"/>
        <v>0</v>
      </c>
      <c r="I6" s="19">
        <f t="shared" si="0"/>
        <v>0</v>
      </c>
      <c r="J6" s="20">
        <f>SUM(C6:I6)</f>
        <v>0</v>
      </c>
    </row>
    <row r="9" spans="1:10" x14ac:dyDescent="0.2">
      <c r="A9" s="15">
        <v>43836</v>
      </c>
      <c r="B9" s="17" t="s">
        <v>48</v>
      </c>
      <c r="C9" s="25"/>
      <c r="D9" s="25"/>
      <c r="E9" s="25"/>
      <c r="F9" s="25"/>
      <c r="G9" s="25"/>
      <c r="H9" s="25"/>
      <c r="I9" s="25"/>
    </row>
    <row r="10" spans="1:10" x14ac:dyDescent="0.2">
      <c r="A10" s="15"/>
      <c r="B10" s="17" t="s">
        <v>49</v>
      </c>
      <c r="C10" s="25"/>
      <c r="D10" s="25"/>
      <c r="E10" s="25"/>
      <c r="F10" s="25"/>
      <c r="G10" s="25"/>
      <c r="H10" s="25"/>
      <c r="I10" s="25"/>
    </row>
    <row r="11" spans="1:10" x14ac:dyDescent="0.2">
      <c r="A11" s="15"/>
      <c r="B11" s="17" t="s">
        <v>48</v>
      </c>
      <c r="C11" s="25"/>
      <c r="D11" s="25"/>
      <c r="E11" s="25"/>
      <c r="F11" s="25"/>
      <c r="G11" s="25"/>
      <c r="H11" s="25"/>
      <c r="I11" s="25"/>
    </row>
    <row r="12" spans="1:10" x14ac:dyDescent="0.2">
      <c r="B12" s="17" t="s">
        <v>49</v>
      </c>
      <c r="C12" s="25"/>
      <c r="D12" s="25"/>
      <c r="E12" s="25"/>
      <c r="F12" s="25"/>
      <c r="G12" s="25"/>
      <c r="H12" s="25"/>
      <c r="I12" s="25"/>
    </row>
    <row r="13" spans="1:10" x14ac:dyDescent="0.2">
      <c r="B13" s="17" t="s">
        <v>50</v>
      </c>
      <c r="C13" s="19">
        <f t="shared" ref="C13:I13" si="1">IF(AND(LEN(C10)&gt;0,C10&lt;&gt;0),GetDecimalTime(C10)-GetDecimalTime(C9),0)+IF(AND(LEN(C12)&gt;0,C12&lt;&gt;0),GetDecimalTime(C12)-GetDecimalTime(C11),0)</f>
        <v>0</v>
      </c>
      <c r="D13" s="19">
        <f t="shared" si="1"/>
        <v>0</v>
      </c>
      <c r="E13" s="19">
        <f t="shared" si="1"/>
        <v>0</v>
      </c>
      <c r="F13" s="19">
        <f t="shared" si="1"/>
        <v>0</v>
      </c>
      <c r="G13" s="19">
        <f t="shared" si="1"/>
        <v>0</v>
      </c>
      <c r="H13" s="19">
        <f t="shared" si="1"/>
        <v>0</v>
      </c>
      <c r="I13" s="19">
        <f t="shared" si="1"/>
        <v>0</v>
      </c>
      <c r="J13" s="20">
        <f>SUM(C13:I13)</f>
        <v>0</v>
      </c>
    </row>
    <row r="16" spans="1:10" x14ac:dyDescent="0.2">
      <c r="A16" s="15">
        <v>43843</v>
      </c>
      <c r="B16" s="17" t="s">
        <v>48</v>
      </c>
      <c r="C16" s="25"/>
      <c r="D16" s="25"/>
      <c r="E16" s="25"/>
      <c r="F16" s="25"/>
      <c r="G16" s="25"/>
      <c r="H16" s="25"/>
      <c r="I16" s="25"/>
    </row>
    <row r="17" spans="1:10" x14ac:dyDescent="0.2">
      <c r="A17" s="15"/>
      <c r="B17" s="17" t="s">
        <v>49</v>
      </c>
      <c r="C17" s="25"/>
      <c r="D17" s="25"/>
      <c r="E17" s="25"/>
      <c r="F17" s="25"/>
      <c r="G17" s="25"/>
      <c r="H17" s="25"/>
      <c r="I17" s="25"/>
    </row>
    <row r="18" spans="1:10" x14ac:dyDescent="0.2">
      <c r="A18" s="15"/>
      <c r="B18" s="17" t="s">
        <v>48</v>
      </c>
      <c r="C18" s="25"/>
      <c r="D18" s="25"/>
      <c r="E18" s="25"/>
      <c r="F18" s="25"/>
      <c r="G18" s="25"/>
      <c r="H18" s="25"/>
      <c r="I18" s="25"/>
    </row>
    <row r="19" spans="1:10" x14ac:dyDescent="0.2">
      <c r="B19" s="17" t="s">
        <v>49</v>
      </c>
      <c r="C19" s="25"/>
      <c r="D19" s="25"/>
      <c r="E19" s="25"/>
      <c r="F19" s="25"/>
      <c r="G19" s="25"/>
      <c r="H19" s="25"/>
      <c r="I19" s="25"/>
    </row>
    <row r="20" spans="1:10" x14ac:dyDescent="0.2">
      <c r="B20" s="17" t="s">
        <v>50</v>
      </c>
      <c r="C20" s="19">
        <f t="shared" ref="C20:I20" si="2">IF(AND(LEN(C17)&gt;0,C17&lt;&gt;0),GetDecimalTime(C17)-GetDecimalTime(C16),0)+IF(AND(LEN(C19)&gt;0,C19&lt;&gt;0),GetDecimalTime(C19)-GetDecimalTime(C18),0)</f>
        <v>0</v>
      </c>
      <c r="D20" s="19">
        <f t="shared" si="2"/>
        <v>0</v>
      </c>
      <c r="E20" s="19">
        <f t="shared" si="2"/>
        <v>0</v>
      </c>
      <c r="F20" s="19">
        <f t="shared" si="2"/>
        <v>0</v>
      </c>
      <c r="G20" s="19">
        <f t="shared" si="2"/>
        <v>0</v>
      </c>
      <c r="H20" s="19">
        <f t="shared" si="2"/>
        <v>0</v>
      </c>
      <c r="I20" s="19">
        <f t="shared" si="2"/>
        <v>0</v>
      </c>
      <c r="J20" s="20">
        <f>SUM(C20:I20)</f>
        <v>0</v>
      </c>
    </row>
    <row r="23" spans="1:10" x14ac:dyDescent="0.2">
      <c r="A23" s="15">
        <v>43850</v>
      </c>
      <c r="B23" s="17" t="s">
        <v>48</v>
      </c>
      <c r="C23" s="25"/>
      <c r="D23" s="25"/>
      <c r="E23" s="25"/>
      <c r="F23" s="25"/>
      <c r="G23" s="25"/>
      <c r="H23" s="25"/>
      <c r="I23" s="25"/>
    </row>
    <row r="24" spans="1:10" x14ac:dyDescent="0.2">
      <c r="A24" s="15"/>
      <c r="B24" s="17" t="s">
        <v>49</v>
      </c>
      <c r="C24" s="25"/>
      <c r="D24" s="25"/>
      <c r="E24" s="25"/>
      <c r="F24" s="25"/>
      <c r="G24" s="25"/>
      <c r="H24" s="25"/>
      <c r="I24" s="25"/>
    </row>
    <row r="25" spans="1:10" x14ac:dyDescent="0.2">
      <c r="A25" s="15"/>
      <c r="B25" s="17" t="s">
        <v>48</v>
      </c>
      <c r="C25" s="25"/>
      <c r="D25" s="25"/>
      <c r="E25" s="25"/>
      <c r="F25" s="25"/>
      <c r="G25" s="25"/>
      <c r="H25" s="25"/>
      <c r="I25" s="25"/>
    </row>
    <row r="26" spans="1:10" x14ac:dyDescent="0.2">
      <c r="B26" s="17" t="s">
        <v>49</v>
      </c>
      <c r="C26" s="25"/>
      <c r="D26" s="25"/>
      <c r="E26" s="25"/>
      <c r="F26" s="25"/>
      <c r="G26" s="25"/>
      <c r="H26" s="25"/>
      <c r="I26" s="25"/>
    </row>
    <row r="27" spans="1:10" x14ac:dyDescent="0.2">
      <c r="B27" s="17" t="s">
        <v>50</v>
      </c>
      <c r="C27" s="19">
        <f t="shared" ref="C27:I27" si="3">IF(AND(LEN(C24)&gt;0,C24&lt;&gt;0),GetDecimalTime(C24)-GetDecimalTime(C23),0)+IF(AND(LEN(C26)&gt;0,C26&lt;&gt;0),GetDecimalTime(C26)-GetDecimalTime(C25),0)</f>
        <v>0</v>
      </c>
      <c r="D27" s="19">
        <f t="shared" si="3"/>
        <v>0</v>
      </c>
      <c r="E27" s="19">
        <f t="shared" si="3"/>
        <v>0</v>
      </c>
      <c r="F27" s="19">
        <f t="shared" si="3"/>
        <v>0</v>
      </c>
      <c r="G27" s="19">
        <f t="shared" si="3"/>
        <v>0</v>
      </c>
      <c r="H27" s="19">
        <f t="shared" si="3"/>
        <v>0</v>
      </c>
      <c r="I27" s="19">
        <f t="shared" si="3"/>
        <v>0</v>
      </c>
      <c r="J27" s="20">
        <f>SUM(C27:I27)</f>
        <v>0</v>
      </c>
    </row>
    <row r="30" spans="1:10" x14ac:dyDescent="0.2">
      <c r="A30" s="15">
        <v>43857</v>
      </c>
      <c r="B30" s="17" t="s">
        <v>48</v>
      </c>
      <c r="C30" s="25"/>
      <c r="D30" s="25"/>
      <c r="E30" s="25"/>
      <c r="F30" s="25"/>
      <c r="G30" s="25"/>
      <c r="H30" s="25"/>
      <c r="I30" s="25"/>
    </row>
    <row r="31" spans="1:10" x14ac:dyDescent="0.2">
      <c r="A31" s="15"/>
      <c r="B31" s="17" t="s">
        <v>49</v>
      </c>
      <c r="C31" s="25"/>
      <c r="D31" s="25"/>
      <c r="E31" s="25"/>
      <c r="F31" s="25"/>
      <c r="G31" s="25"/>
      <c r="H31" s="25"/>
      <c r="I31" s="25"/>
    </row>
    <row r="32" spans="1:10" x14ac:dyDescent="0.2">
      <c r="A32" s="15"/>
      <c r="B32" s="17" t="s">
        <v>48</v>
      </c>
      <c r="C32" s="25"/>
      <c r="D32" s="25"/>
      <c r="E32" s="25"/>
      <c r="F32" s="25"/>
      <c r="G32" s="25"/>
      <c r="H32" s="25"/>
      <c r="I32" s="25"/>
    </row>
    <row r="33" spans="1:10" x14ac:dyDescent="0.2">
      <c r="B33" s="17" t="s">
        <v>49</v>
      </c>
      <c r="C33" s="25"/>
      <c r="D33" s="25"/>
      <c r="E33" s="25"/>
      <c r="F33" s="25"/>
      <c r="G33" s="25"/>
      <c r="H33" s="25"/>
      <c r="I33" s="25"/>
    </row>
    <row r="34" spans="1:10" x14ac:dyDescent="0.2">
      <c r="B34" s="17" t="s">
        <v>50</v>
      </c>
      <c r="C34" s="19">
        <f t="shared" ref="C34:I34" si="4">IF(AND(LEN(C31)&gt;0,C31&lt;&gt;0),GetDecimalTime(C31)-GetDecimalTime(C30),0)+IF(AND(LEN(C33)&gt;0,C33&lt;&gt;0),GetDecimalTime(C33)-GetDecimalTime(C32),0)</f>
        <v>0</v>
      </c>
      <c r="D34" s="19">
        <f t="shared" si="4"/>
        <v>0</v>
      </c>
      <c r="E34" s="19">
        <f t="shared" si="4"/>
        <v>0</v>
      </c>
      <c r="F34" s="19">
        <f t="shared" si="4"/>
        <v>0</v>
      </c>
      <c r="G34" s="19">
        <f t="shared" si="4"/>
        <v>0</v>
      </c>
      <c r="H34" s="19">
        <f t="shared" si="4"/>
        <v>0</v>
      </c>
      <c r="I34" s="19">
        <f t="shared" si="4"/>
        <v>0</v>
      </c>
      <c r="J34" s="20">
        <f>SUM(C34:I34)</f>
        <v>0</v>
      </c>
    </row>
    <row r="37" spans="1:10" x14ac:dyDescent="0.2">
      <c r="A37" s="15">
        <v>43864</v>
      </c>
      <c r="B37" s="17" t="s">
        <v>48</v>
      </c>
      <c r="C37" s="25"/>
      <c r="D37" s="25"/>
      <c r="E37" s="25"/>
      <c r="F37" s="25"/>
      <c r="G37" s="25"/>
      <c r="H37" s="25"/>
      <c r="I37" s="25"/>
    </row>
    <row r="38" spans="1:10" x14ac:dyDescent="0.2">
      <c r="A38" s="15"/>
      <c r="B38" s="17" t="s">
        <v>49</v>
      </c>
      <c r="C38" s="25"/>
      <c r="D38" s="25"/>
      <c r="E38" s="25"/>
      <c r="F38" s="25"/>
      <c r="G38" s="25"/>
      <c r="H38" s="25"/>
      <c r="I38" s="25"/>
    </row>
    <row r="39" spans="1:10" x14ac:dyDescent="0.2">
      <c r="A39" s="15"/>
      <c r="B39" s="17" t="s">
        <v>48</v>
      </c>
      <c r="C39" s="25"/>
      <c r="D39" s="25"/>
      <c r="E39" s="25"/>
      <c r="F39" s="25"/>
      <c r="G39" s="25"/>
      <c r="H39" s="25"/>
      <c r="I39" s="25"/>
    </row>
    <row r="40" spans="1:10" x14ac:dyDescent="0.2">
      <c r="B40" s="17" t="s">
        <v>49</v>
      </c>
      <c r="C40" s="25"/>
      <c r="D40" s="25"/>
      <c r="E40" s="25"/>
      <c r="F40" s="25"/>
      <c r="G40" s="25"/>
      <c r="H40" s="25"/>
      <c r="I40" s="25"/>
    </row>
    <row r="41" spans="1:10" x14ac:dyDescent="0.2">
      <c r="B41" s="17" t="s">
        <v>50</v>
      </c>
      <c r="C41" s="19">
        <f t="shared" ref="C41:I41" si="5">IF(AND(LEN(C38)&gt;0,C38&lt;&gt;0),GetDecimalTime(C38)-GetDecimalTime(C37),0)+IF(AND(LEN(C40)&gt;0,C40&lt;&gt;0),GetDecimalTime(C40)-GetDecimalTime(C39),0)</f>
        <v>0</v>
      </c>
      <c r="D41" s="19">
        <f t="shared" si="5"/>
        <v>0</v>
      </c>
      <c r="E41" s="19">
        <f t="shared" si="5"/>
        <v>0</v>
      </c>
      <c r="F41" s="19">
        <f t="shared" si="5"/>
        <v>0</v>
      </c>
      <c r="G41" s="19">
        <f t="shared" si="5"/>
        <v>0</v>
      </c>
      <c r="H41" s="19">
        <f t="shared" si="5"/>
        <v>0</v>
      </c>
      <c r="I41" s="19">
        <f t="shared" si="5"/>
        <v>0</v>
      </c>
      <c r="J41" s="20">
        <f>SUM(C41:I41)</f>
        <v>0</v>
      </c>
    </row>
    <row r="44" spans="1:10" x14ac:dyDescent="0.2">
      <c r="A44" s="15">
        <v>43871</v>
      </c>
      <c r="B44" s="17" t="s">
        <v>48</v>
      </c>
      <c r="C44" s="25"/>
      <c r="D44" s="25"/>
      <c r="E44" s="25"/>
      <c r="F44" s="25"/>
      <c r="G44" s="25"/>
      <c r="H44" s="25"/>
      <c r="I44" s="25"/>
    </row>
    <row r="45" spans="1:10" x14ac:dyDescent="0.2">
      <c r="A45" s="15"/>
      <c r="B45" s="17" t="s">
        <v>49</v>
      </c>
      <c r="C45" s="25"/>
      <c r="D45" s="25"/>
      <c r="E45" s="25"/>
      <c r="F45" s="25"/>
      <c r="G45" s="25"/>
      <c r="H45" s="25"/>
      <c r="I45" s="25"/>
    </row>
    <row r="46" spans="1:10" x14ac:dyDescent="0.2">
      <c r="A46" s="15"/>
      <c r="B46" s="17" t="s">
        <v>48</v>
      </c>
      <c r="C46" s="25"/>
      <c r="D46" s="25"/>
      <c r="E46" s="25"/>
      <c r="F46" s="25"/>
      <c r="G46" s="25"/>
      <c r="H46" s="25"/>
      <c r="I46" s="25"/>
    </row>
    <row r="47" spans="1:10" x14ac:dyDescent="0.2">
      <c r="B47" s="17" t="s">
        <v>49</v>
      </c>
      <c r="C47" s="25"/>
      <c r="D47" s="25"/>
      <c r="E47" s="25"/>
      <c r="F47" s="25"/>
      <c r="G47" s="25"/>
      <c r="H47" s="25"/>
      <c r="I47" s="25"/>
    </row>
    <row r="48" spans="1:10" x14ac:dyDescent="0.2">
      <c r="B48" s="17" t="s">
        <v>50</v>
      </c>
      <c r="C48" s="19">
        <f t="shared" ref="C48:I48" si="6">IF(AND(LEN(C45)&gt;0,C45&lt;&gt;0),GetDecimalTime(C45)-GetDecimalTime(C44),0)+IF(AND(LEN(C47)&gt;0,C47&lt;&gt;0),GetDecimalTime(C47)-GetDecimalTime(C46),0)</f>
        <v>0</v>
      </c>
      <c r="D48" s="19">
        <f t="shared" si="6"/>
        <v>0</v>
      </c>
      <c r="E48" s="19">
        <f t="shared" si="6"/>
        <v>0</v>
      </c>
      <c r="F48" s="19">
        <f>IF(AND(LEN(F45)&gt;0,F45&lt;&gt;0),GetDecimalTime(F45)-GetDecimalTime(F44),0)+IF(AND(LEN(F47)&gt;0,F47&lt;&gt;0),GetDecimalTime(F47)-GetDecimalTime(F46),0)</f>
        <v>0</v>
      </c>
      <c r="G48" s="19">
        <f>IF(AND(LEN(G45)&gt;0,G45&lt;&gt;0),GetDecimalTime(G45)-GetDecimalTime(G44),0)+IF(AND(LEN(G47)&gt;0,G47&lt;&gt;0),GetDecimalTime(G47)-GetDecimalTime(G46),0)</f>
        <v>0</v>
      </c>
      <c r="H48" s="19">
        <f t="shared" si="6"/>
        <v>0</v>
      </c>
      <c r="I48" s="19">
        <f t="shared" si="6"/>
        <v>0</v>
      </c>
      <c r="J48" s="20">
        <f>SUM(C48:I48)</f>
        <v>0</v>
      </c>
    </row>
    <row r="51" spans="1:10" x14ac:dyDescent="0.2">
      <c r="A51" s="15">
        <v>43878</v>
      </c>
      <c r="B51" s="17" t="s">
        <v>48</v>
      </c>
      <c r="C51" s="25"/>
      <c r="D51" s="25"/>
      <c r="E51" s="25"/>
      <c r="F51" s="25"/>
      <c r="G51" s="25"/>
      <c r="H51" s="25"/>
      <c r="I51" s="25"/>
    </row>
    <row r="52" spans="1:10" x14ac:dyDescent="0.2">
      <c r="A52" s="15"/>
      <c r="B52" s="17" t="s">
        <v>49</v>
      </c>
      <c r="C52" s="25"/>
      <c r="D52" s="25"/>
      <c r="E52" s="25"/>
      <c r="F52" s="25"/>
      <c r="G52" s="25"/>
      <c r="H52" s="25"/>
      <c r="I52" s="25"/>
    </row>
    <row r="53" spans="1:10" x14ac:dyDescent="0.2">
      <c r="A53" s="15"/>
      <c r="B53" s="17" t="s">
        <v>48</v>
      </c>
      <c r="C53" s="25"/>
      <c r="D53" s="25"/>
      <c r="E53" s="25"/>
      <c r="F53" s="25"/>
      <c r="G53" s="25"/>
      <c r="H53" s="25"/>
      <c r="I53" s="25"/>
    </row>
    <row r="54" spans="1:10" x14ac:dyDescent="0.2">
      <c r="B54" s="17" t="s">
        <v>49</v>
      </c>
      <c r="C54" s="25"/>
      <c r="D54" s="25"/>
      <c r="E54" s="25"/>
      <c r="F54" s="25"/>
      <c r="G54" s="25"/>
      <c r="H54" s="25"/>
      <c r="I54" s="25"/>
    </row>
    <row r="55" spans="1:10" x14ac:dyDescent="0.2">
      <c r="B55" s="17" t="s">
        <v>50</v>
      </c>
      <c r="C55" s="19">
        <f t="shared" ref="C55:I55" si="7">IF(AND(LEN(C52)&gt;0,C52&lt;&gt;0),GetDecimalTime(C52)-GetDecimalTime(C51),0)+IF(AND(LEN(C54)&gt;0,C54&lt;&gt;0),GetDecimalTime(C54)-GetDecimalTime(C53),0)</f>
        <v>0</v>
      </c>
      <c r="D55" s="19">
        <f t="shared" si="7"/>
        <v>0</v>
      </c>
      <c r="E55" s="19">
        <f t="shared" si="7"/>
        <v>0</v>
      </c>
      <c r="F55" s="19">
        <f t="shared" si="7"/>
        <v>0</v>
      </c>
      <c r="G55" s="19">
        <f t="shared" si="7"/>
        <v>0</v>
      </c>
      <c r="H55" s="19">
        <f t="shared" si="7"/>
        <v>0</v>
      </c>
      <c r="I55" s="19">
        <f t="shared" si="7"/>
        <v>0</v>
      </c>
      <c r="J55" s="20">
        <f>SUM(C55:I55)</f>
        <v>0</v>
      </c>
    </row>
    <row r="58" spans="1:10" x14ac:dyDescent="0.2">
      <c r="A58" s="15">
        <v>43885</v>
      </c>
      <c r="B58" s="17" t="s">
        <v>48</v>
      </c>
      <c r="C58" s="25"/>
      <c r="D58" s="25"/>
      <c r="E58" s="25"/>
      <c r="F58" s="25"/>
      <c r="G58" s="25"/>
      <c r="H58" s="25"/>
      <c r="I58" s="25"/>
    </row>
    <row r="59" spans="1:10" x14ac:dyDescent="0.2">
      <c r="A59" s="15"/>
      <c r="B59" s="17" t="s">
        <v>49</v>
      </c>
      <c r="C59" s="25"/>
      <c r="D59" s="25"/>
      <c r="E59" s="25"/>
      <c r="F59" s="25"/>
      <c r="G59" s="25"/>
      <c r="H59" s="25"/>
      <c r="I59" s="25"/>
    </row>
    <row r="60" spans="1:10" x14ac:dyDescent="0.2">
      <c r="A60" s="15"/>
      <c r="B60" s="17" t="s">
        <v>48</v>
      </c>
      <c r="C60" s="25"/>
      <c r="D60" s="25"/>
      <c r="E60" s="25"/>
      <c r="F60" s="25"/>
      <c r="G60" s="25"/>
      <c r="H60" s="25"/>
      <c r="I60" s="25"/>
    </row>
    <row r="61" spans="1:10" x14ac:dyDescent="0.2">
      <c r="B61" s="17" t="s">
        <v>49</v>
      </c>
      <c r="C61" s="25"/>
      <c r="D61" s="25"/>
      <c r="E61" s="25"/>
      <c r="F61" s="25"/>
      <c r="G61" s="25"/>
      <c r="H61" s="25"/>
      <c r="I61" s="25"/>
    </row>
    <row r="62" spans="1:10" x14ac:dyDescent="0.2">
      <c r="B62" s="17" t="s">
        <v>50</v>
      </c>
      <c r="C62" s="19">
        <f t="shared" ref="C62:I62" si="8">IF(AND(LEN(C59)&gt;0,C59&lt;&gt;0),GetDecimalTime(C59)-GetDecimalTime(C58),0)+IF(AND(LEN(C61)&gt;0,C61&lt;&gt;0),GetDecimalTime(C61)-GetDecimalTime(C60),0)</f>
        <v>0</v>
      </c>
      <c r="D62" s="19">
        <f t="shared" si="8"/>
        <v>0</v>
      </c>
      <c r="E62" s="19">
        <f t="shared" si="8"/>
        <v>0</v>
      </c>
      <c r="F62" s="19">
        <f t="shared" si="8"/>
        <v>0</v>
      </c>
      <c r="G62" s="19">
        <f t="shared" si="8"/>
        <v>0</v>
      </c>
      <c r="H62" s="19">
        <f t="shared" si="8"/>
        <v>0</v>
      </c>
      <c r="I62" s="19">
        <f t="shared" si="8"/>
        <v>0</v>
      </c>
      <c r="J62" s="20">
        <f>SUM(C62:I62)</f>
        <v>0</v>
      </c>
    </row>
    <row r="65" spans="1:10" x14ac:dyDescent="0.2">
      <c r="A65" s="15">
        <v>43892</v>
      </c>
      <c r="B65" s="17" t="s">
        <v>48</v>
      </c>
      <c r="C65" s="25"/>
      <c r="D65" s="25"/>
      <c r="E65" s="25"/>
      <c r="F65" s="25"/>
      <c r="G65" s="25"/>
      <c r="H65" s="25"/>
      <c r="I65" s="25"/>
    </row>
    <row r="66" spans="1:10" x14ac:dyDescent="0.2">
      <c r="A66" s="15"/>
      <c r="B66" s="17" t="s">
        <v>49</v>
      </c>
      <c r="C66" s="25"/>
      <c r="D66" s="25"/>
      <c r="E66" s="25"/>
      <c r="F66" s="25"/>
      <c r="G66" s="25"/>
      <c r="H66" s="25"/>
      <c r="I66" s="25"/>
    </row>
    <row r="67" spans="1:10" x14ac:dyDescent="0.2">
      <c r="A67" s="15"/>
      <c r="B67" s="17" t="s">
        <v>48</v>
      </c>
      <c r="C67" s="25"/>
      <c r="D67" s="25"/>
      <c r="E67" s="25"/>
      <c r="F67" s="25"/>
      <c r="G67" s="25"/>
      <c r="H67" s="25"/>
      <c r="I67" s="25"/>
    </row>
    <row r="68" spans="1:10" x14ac:dyDescent="0.2">
      <c r="B68" s="17" t="s">
        <v>49</v>
      </c>
      <c r="C68" s="25"/>
      <c r="D68" s="25"/>
      <c r="E68" s="25"/>
      <c r="F68" s="25"/>
      <c r="G68" s="25"/>
      <c r="H68" s="25"/>
      <c r="I68" s="25"/>
    </row>
    <row r="69" spans="1:10" x14ac:dyDescent="0.2">
      <c r="B69" s="17" t="s">
        <v>50</v>
      </c>
      <c r="C69" s="19">
        <f t="shared" ref="C69:I69" si="9">IF(AND(LEN(C66)&gt;0,C66&lt;&gt;0),GetDecimalTime(C66)-GetDecimalTime(C65),0)+IF(AND(LEN(C68)&gt;0,C68&lt;&gt;0),GetDecimalTime(C68)-GetDecimalTime(C67),0)</f>
        <v>0</v>
      </c>
      <c r="D69" s="19">
        <f t="shared" si="9"/>
        <v>0</v>
      </c>
      <c r="E69" s="19">
        <f t="shared" si="9"/>
        <v>0</v>
      </c>
      <c r="F69" s="19">
        <f t="shared" si="9"/>
        <v>0</v>
      </c>
      <c r="G69" s="19">
        <f t="shared" si="9"/>
        <v>0</v>
      </c>
      <c r="H69" s="19">
        <f t="shared" si="9"/>
        <v>0</v>
      </c>
      <c r="I69" s="19">
        <f t="shared" si="9"/>
        <v>0</v>
      </c>
      <c r="J69" s="20">
        <f>SUM(C69:I69)</f>
        <v>0</v>
      </c>
    </row>
    <row r="72" spans="1:10" x14ac:dyDescent="0.2">
      <c r="A72" s="15">
        <v>43899</v>
      </c>
      <c r="B72" s="17" t="s">
        <v>48</v>
      </c>
      <c r="C72" s="25"/>
      <c r="D72" s="25"/>
      <c r="E72" s="25"/>
      <c r="F72" s="25"/>
      <c r="G72" s="25"/>
      <c r="H72" s="25"/>
      <c r="I72" s="25"/>
    </row>
    <row r="73" spans="1:10" x14ac:dyDescent="0.2">
      <c r="A73" s="15"/>
      <c r="B73" s="17" t="s">
        <v>49</v>
      </c>
      <c r="C73" s="25"/>
      <c r="D73" s="25"/>
      <c r="E73" s="25"/>
      <c r="F73" s="25"/>
      <c r="G73" s="25"/>
      <c r="H73" s="25"/>
      <c r="I73" s="25"/>
    </row>
    <row r="74" spans="1:10" x14ac:dyDescent="0.2">
      <c r="A74" s="15"/>
      <c r="B74" s="17" t="s">
        <v>48</v>
      </c>
      <c r="C74" s="25"/>
      <c r="D74" s="25"/>
      <c r="E74" s="25"/>
      <c r="F74" s="25"/>
      <c r="G74" s="25"/>
      <c r="H74" s="25"/>
      <c r="I74" s="25"/>
    </row>
    <row r="75" spans="1:10" x14ac:dyDescent="0.2">
      <c r="B75" s="17" t="s">
        <v>49</v>
      </c>
      <c r="C75" s="25"/>
      <c r="D75" s="25"/>
      <c r="E75" s="25"/>
      <c r="F75" s="25"/>
      <c r="G75" s="25"/>
      <c r="H75" s="25"/>
      <c r="I75" s="25"/>
    </row>
    <row r="76" spans="1:10" x14ac:dyDescent="0.2">
      <c r="B76" s="17" t="s">
        <v>50</v>
      </c>
      <c r="C76" s="19">
        <f t="shared" ref="C76:I76" si="10">IF(AND(LEN(C73)&gt;0,C73&lt;&gt;0),GetDecimalTime(C73)-GetDecimalTime(C72),0)+IF(AND(LEN(C75)&gt;0,C75&lt;&gt;0),GetDecimalTime(C75)-GetDecimalTime(C74),0)</f>
        <v>0</v>
      </c>
      <c r="D76" s="19">
        <f t="shared" si="10"/>
        <v>0</v>
      </c>
      <c r="E76" s="19">
        <f t="shared" si="10"/>
        <v>0</v>
      </c>
      <c r="F76" s="19">
        <f t="shared" si="10"/>
        <v>0</v>
      </c>
      <c r="G76" s="19">
        <f t="shared" si="10"/>
        <v>0</v>
      </c>
      <c r="H76" s="19">
        <f t="shared" si="10"/>
        <v>0</v>
      </c>
      <c r="I76" s="19">
        <f t="shared" si="10"/>
        <v>0</v>
      </c>
      <c r="J76" s="20">
        <f>SUM(C76:I76)</f>
        <v>0</v>
      </c>
    </row>
    <row r="79" spans="1:10" x14ac:dyDescent="0.2">
      <c r="A79" s="15">
        <v>43906</v>
      </c>
      <c r="B79" s="17" t="s">
        <v>48</v>
      </c>
      <c r="C79" s="25"/>
      <c r="D79" s="25"/>
      <c r="E79" s="25"/>
      <c r="F79" s="25"/>
      <c r="G79" s="25"/>
      <c r="H79" s="25"/>
      <c r="I79" s="25"/>
    </row>
    <row r="80" spans="1:10" x14ac:dyDescent="0.2">
      <c r="A80" s="15"/>
      <c r="B80" s="17" t="s">
        <v>49</v>
      </c>
      <c r="C80" s="25"/>
      <c r="D80" s="25"/>
      <c r="E80" s="25"/>
      <c r="F80" s="25"/>
      <c r="G80" s="25"/>
      <c r="H80" s="25"/>
      <c r="I80" s="25"/>
    </row>
    <row r="81" spans="1:10" x14ac:dyDescent="0.2">
      <c r="A81" s="15"/>
      <c r="B81" s="17" t="s">
        <v>48</v>
      </c>
      <c r="C81" s="25"/>
      <c r="D81" s="25"/>
      <c r="E81" s="25"/>
      <c r="F81" s="25"/>
      <c r="G81" s="25"/>
      <c r="H81" s="25"/>
      <c r="I81" s="25"/>
    </row>
    <row r="82" spans="1:10" x14ac:dyDescent="0.2">
      <c r="B82" s="17" t="s">
        <v>49</v>
      </c>
      <c r="C82" s="25"/>
      <c r="D82" s="25"/>
      <c r="E82" s="25"/>
      <c r="F82" s="25"/>
      <c r="G82" s="25"/>
      <c r="H82" s="25"/>
      <c r="I82" s="25"/>
    </row>
    <row r="83" spans="1:10" x14ac:dyDescent="0.2">
      <c r="B83" s="17" t="s">
        <v>50</v>
      </c>
      <c r="C83" s="19">
        <f t="shared" ref="C83:I83" si="11">IF(AND(LEN(C80)&gt;0,C80&lt;&gt;0),GetDecimalTime(C80)-GetDecimalTime(C79),0)+IF(AND(LEN(C82)&gt;0,C82&lt;&gt;0),GetDecimalTime(C82)-GetDecimalTime(C81),0)</f>
        <v>0</v>
      </c>
      <c r="D83" s="19">
        <f t="shared" si="11"/>
        <v>0</v>
      </c>
      <c r="E83" s="19">
        <f t="shared" si="11"/>
        <v>0</v>
      </c>
      <c r="F83" s="19">
        <f t="shared" si="11"/>
        <v>0</v>
      </c>
      <c r="G83" s="19">
        <f t="shared" si="11"/>
        <v>0</v>
      </c>
      <c r="H83" s="19">
        <f t="shared" si="11"/>
        <v>0</v>
      </c>
      <c r="I83" s="19">
        <f t="shared" si="11"/>
        <v>0</v>
      </c>
      <c r="J83" s="20">
        <f>SUM(C83:I83)</f>
        <v>0</v>
      </c>
    </row>
    <row r="86" spans="1:10" x14ac:dyDescent="0.2">
      <c r="A86" s="15">
        <v>43913</v>
      </c>
      <c r="B86" s="17" t="s">
        <v>48</v>
      </c>
      <c r="C86" s="25"/>
      <c r="D86" s="25"/>
      <c r="E86" s="25"/>
      <c r="F86" s="25"/>
      <c r="G86" s="25"/>
      <c r="H86" s="25"/>
      <c r="I86" s="25"/>
    </row>
    <row r="87" spans="1:10" x14ac:dyDescent="0.2">
      <c r="A87" s="15"/>
      <c r="B87" s="17" t="s">
        <v>49</v>
      </c>
      <c r="C87" s="25"/>
      <c r="D87" s="25"/>
      <c r="E87" s="25"/>
      <c r="F87" s="25"/>
      <c r="G87" s="25"/>
      <c r="H87" s="25"/>
      <c r="I87" s="25"/>
    </row>
    <row r="88" spans="1:10" x14ac:dyDescent="0.2">
      <c r="A88" s="15"/>
      <c r="B88" s="17" t="s">
        <v>48</v>
      </c>
      <c r="C88" s="25"/>
      <c r="D88" s="25"/>
      <c r="E88" s="25"/>
      <c r="F88" s="25"/>
      <c r="G88" s="25"/>
      <c r="H88" s="25"/>
      <c r="I88" s="25"/>
    </row>
    <row r="89" spans="1:10" x14ac:dyDescent="0.2">
      <c r="B89" s="17" t="s">
        <v>49</v>
      </c>
      <c r="C89" s="25"/>
      <c r="D89" s="25"/>
      <c r="E89" s="25"/>
      <c r="F89" s="25"/>
      <c r="G89" s="25"/>
      <c r="H89" s="25"/>
      <c r="I89" s="25"/>
    </row>
    <row r="90" spans="1:10" x14ac:dyDescent="0.2">
      <c r="B90" s="17" t="s">
        <v>50</v>
      </c>
      <c r="C90" s="19">
        <f t="shared" ref="C90:I90" si="12">IF(AND(LEN(C87)&gt;0,C87&lt;&gt;0),GetDecimalTime(C87)-GetDecimalTime(C86),0)+IF(AND(LEN(C89)&gt;0,C89&lt;&gt;0),GetDecimalTime(C89)-GetDecimalTime(C88),0)</f>
        <v>0</v>
      </c>
      <c r="D90" s="19">
        <f t="shared" si="12"/>
        <v>0</v>
      </c>
      <c r="E90" s="19">
        <f t="shared" si="12"/>
        <v>0</v>
      </c>
      <c r="F90" s="19">
        <f t="shared" si="12"/>
        <v>0</v>
      </c>
      <c r="G90" s="19">
        <f t="shared" si="12"/>
        <v>0</v>
      </c>
      <c r="H90" s="19">
        <f t="shared" si="12"/>
        <v>0</v>
      </c>
      <c r="I90" s="19">
        <f t="shared" si="12"/>
        <v>0</v>
      </c>
      <c r="J90" s="20">
        <f>SUM(C90:I90)</f>
        <v>0</v>
      </c>
    </row>
    <row r="93" spans="1:10" x14ac:dyDescent="0.2">
      <c r="A93" s="15">
        <v>43920</v>
      </c>
      <c r="B93" s="17" t="s">
        <v>48</v>
      </c>
      <c r="C93" s="25"/>
      <c r="D93" s="25"/>
      <c r="E93" s="25"/>
      <c r="F93" s="25"/>
      <c r="G93" s="25"/>
      <c r="H93" s="25"/>
      <c r="I93" s="25"/>
    </row>
    <row r="94" spans="1:10" x14ac:dyDescent="0.2">
      <c r="A94" s="15"/>
      <c r="B94" s="17" t="s">
        <v>49</v>
      </c>
      <c r="C94" s="25"/>
      <c r="D94" s="25"/>
      <c r="E94" s="25"/>
      <c r="F94" s="25"/>
      <c r="G94" s="25"/>
      <c r="H94" s="25"/>
      <c r="I94" s="25"/>
    </row>
    <row r="95" spans="1:10" x14ac:dyDescent="0.2">
      <c r="A95" s="15"/>
      <c r="B95" s="17" t="s">
        <v>48</v>
      </c>
      <c r="C95" s="25"/>
      <c r="D95" s="25"/>
      <c r="E95" s="25"/>
      <c r="F95" s="25"/>
      <c r="G95" s="25"/>
      <c r="H95" s="25"/>
      <c r="I95" s="25"/>
    </row>
    <row r="96" spans="1:10" x14ac:dyDescent="0.2">
      <c r="B96" s="17" t="s">
        <v>49</v>
      </c>
      <c r="C96" s="25"/>
      <c r="D96" s="25"/>
      <c r="E96" s="25"/>
      <c r="F96" s="25"/>
      <c r="G96" s="25"/>
      <c r="H96" s="25"/>
      <c r="I96" s="25"/>
    </row>
    <row r="97" spans="1:10" x14ac:dyDescent="0.2">
      <c r="B97" s="17" t="s">
        <v>50</v>
      </c>
      <c r="C97" s="19">
        <f t="shared" ref="C97:I97" si="13">IF(AND(LEN(C94)&gt;0,C94&lt;&gt;0),GetDecimalTime(C94)-GetDecimalTime(C93),0)+IF(AND(LEN(C96)&gt;0,C96&lt;&gt;0),GetDecimalTime(C96)-GetDecimalTime(C95),0)</f>
        <v>0</v>
      </c>
      <c r="D97" s="19">
        <f t="shared" si="13"/>
        <v>0</v>
      </c>
      <c r="E97" s="19">
        <f t="shared" si="13"/>
        <v>0</v>
      </c>
      <c r="F97" s="19">
        <f t="shared" si="13"/>
        <v>0</v>
      </c>
      <c r="G97" s="19">
        <f t="shared" si="13"/>
        <v>0</v>
      </c>
      <c r="H97" s="19">
        <f t="shared" si="13"/>
        <v>0</v>
      </c>
      <c r="I97" s="19">
        <f t="shared" si="13"/>
        <v>0</v>
      </c>
      <c r="J97" s="20">
        <f>SUM(C97:I97)</f>
        <v>0</v>
      </c>
    </row>
    <row r="100" spans="1:10" x14ac:dyDescent="0.2">
      <c r="A100" s="15">
        <v>43927</v>
      </c>
      <c r="B100" s="17" t="s">
        <v>48</v>
      </c>
      <c r="C100" s="25"/>
      <c r="D100" s="25"/>
      <c r="E100" s="25"/>
      <c r="F100" s="25"/>
      <c r="G100" s="25"/>
      <c r="H100" s="25"/>
      <c r="I100" s="25"/>
    </row>
    <row r="101" spans="1:10" x14ac:dyDescent="0.2">
      <c r="A101" s="15"/>
      <c r="B101" s="17" t="s">
        <v>49</v>
      </c>
      <c r="C101" s="25"/>
      <c r="D101" s="25"/>
      <c r="E101" s="25"/>
      <c r="F101" s="25"/>
      <c r="G101" s="25"/>
      <c r="H101" s="25"/>
      <c r="I101" s="25"/>
    </row>
    <row r="102" spans="1:10" x14ac:dyDescent="0.2">
      <c r="A102" s="15"/>
      <c r="B102" s="17" t="s">
        <v>48</v>
      </c>
      <c r="C102" s="25"/>
      <c r="D102" s="25"/>
      <c r="E102" s="25"/>
      <c r="F102" s="25"/>
      <c r="G102" s="25"/>
      <c r="H102" s="25"/>
      <c r="I102" s="25"/>
    </row>
    <row r="103" spans="1:10" x14ac:dyDescent="0.2">
      <c r="B103" s="17" t="s">
        <v>49</v>
      </c>
      <c r="C103" s="25"/>
      <c r="D103" s="25"/>
      <c r="E103" s="25"/>
      <c r="F103" s="25"/>
      <c r="G103" s="25"/>
      <c r="H103" s="25"/>
      <c r="I103" s="25"/>
    </row>
    <row r="104" spans="1:10" x14ac:dyDescent="0.2">
      <c r="B104" s="17" t="s">
        <v>50</v>
      </c>
      <c r="C104" s="19">
        <f t="shared" ref="C104:I104" si="14">IF(AND(LEN(C101)&gt;0,C101&lt;&gt;0),GetDecimalTime(C101)-GetDecimalTime(C100),0)+IF(AND(LEN(C103)&gt;0,C103&lt;&gt;0),GetDecimalTime(C103)-GetDecimalTime(C102),0)</f>
        <v>0</v>
      </c>
      <c r="D104" s="19">
        <f t="shared" si="14"/>
        <v>0</v>
      </c>
      <c r="E104" s="19">
        <f t="shared" si="14"/>
        <v>0</v>
      </c>
      <c r="F104" s="19">
        <f t="shared" si="14"/>
        <v>0</v>
      </c>
      <c r="G104" s="19">
        <f t="shared" si="14"/>
        <v>0</v>
      </c>
      <c r="H104" s="19">
        <f t="shared" si="14"/>
        <v>0</v>
      </c>
      <c r="I104" s="19">
        <f t="shared" si="14"/>
        <v>0</v>
      </c>
      <c r="J104" s="20">
        <f>SUM(C104:I104)</f>
        <v>0</v>
      </c>
    </row>
    <row r="107" spans="1:10" x14ac:dyDescent="0.2">
      <c r="A107" s="15">
        <v>43934</v>
      </c>
      <c r="B107" s="17" t="s">
        <v>48</v>
      </c>
      <c r="C107" s="25"/>
      <c r="D107" s="25"/>
      <c r="E107" s="25"/>
      <c r="F107" s="25"/>
      <c r="G107" s="25"/>
      <c r="H107" s="25"/>
      <c r="I107" s="25"/>
    </row>
    <row r="108" spans="1:10" x14ac:dyDescent="0.2">
      <c r="A108" s="15"/>
      <c r="B108" s="17" t="s">
        <v>49</v>
      </c>
      <c r="C108" s="25"/>
      <c r="D108" s="25"/>
      <c r="E108" s="25"/>
      <c r="F108" s="25"/>
      <c r="G108" s="25"/>
      <c r="H108" s="25"/>
      <c r="I108" s="25"/>
    </row>
    <row r="109" spans="1:10" x14ac:dyDescent="0.2">
      <c r="A109" s="15"/>
      <c r="B109" s="17" t="s">
        <v>48</v>
      </c>
      <c r="C109" s="25"/>
      <c r="D109" s="25"/>
      <c r="E109" s="25"/>
      <c r="F109" s="25"/>
      <c r="G109" s="25"/>
      <c r="H109" s="25"/>
      <c r="I109" s="25"/>
    </row>
    <row r="110" spans="1:10" x14ac:dyDescent="0.2">
      <c r="B110" s="17" t="s">
        <v>49</v>
      </c>
      <c r="C110" s="25"/>
      <c r="D110" s="25"/>
      <c r="E110" s="25"/>
      <c r="F110" s="25"/>
      <c r="G110" s="25"/>
      <c r="H110" s="25"/>
      <c r="I110" s="25"/>
    </row>
    <row r="111" spans="1:10" x14ac:dyDescent="0.2">
      <c r="B111" s="17" t="s">
        <v>50</v>
      </c>
      <c r="C111" s="19">
        <f t="shared" ref="C111:I111" si="15">IF(AND(LEN(C108)&gt;0,C108&lt;&gt;0),GetDecimalTime(C108)-GetDecimalTime(C107),0)+IF(AND(LEN(C110)&gt;0,C110&lt;&gt;0),GetDecimalTime(C110)-GetDecimalTime(C109),0)</f>
        <v>0</v>
      </c>
      <c r="D111" s="19">
        <f t="shared" si="15"/>
        <v>0</v>
      </c>
      <c r="E111" s="19">
        <f t="shared" si="15"/>
        <v>0</v>
      </c>
      <c r="F111" s="19">
        <f t="shared" si="15"/>
        <v>0</v>
      </c>
      <c r="G111" s="19">
        <f t="shared" si="15"/>
        <v>0</v>
      </c>
      <c r="H111" s="19">
        <f t="shared" si="15"/>
        <v>0</v>
      </c>
      <c r="I111" s="19">
        <f t="shared" si="15"/>
        <v>0</v>
      </c>
      <c r="J111" s="20">
        <f>SUM(C111:I111)</f>
        <v>0</v>
      </c>
    </row>
    <row r="114" spans="1:10" x14ac:dyDescent="0.2">
      <c r="A114" s="15">
        <v>43941</v>
      </c>
      <c r="B114" s="17" t="s">
        <v>48</v>
      </c>
      <c r="C114" s="25"/>
      <c r="D114" s="25"/>
      <c r="E114" s="25"/>
      <c r="F114" s="25"/>
      <c r="G114" s="25"/>
      <c r="H114" s="25"/>
      <c r="I114" s="25"/>
    </row>
    <row r="115" spans="1:10" x14ac:dyDescent="0.2">
      <c r="A115" s="15"/>
      <c r="B115" s="17" t="s">
        <v>49</v>
      </c>
      <c r="C115" s="25"/>
      <c r="D115" s="25"/>
      <c r="E115" s="25"/>
      <c r="F115" s="25"/>
      <c r="G115" s="25"/>
      <c r="H115" s="25"/>
      <c r="I115" s="25"/>
    </row>
    <row r="116" spans="1:10" x14ac:dyDescent="0.2">
      <c r="A116" s="15"/>
      <c r="B116" s="17" t="s">
        <v>48</v>
      </c>
      <c r="C116" s="25"/>
      <c r="D116" s="25"/>
      <c r="E116" s="25"/>
      <c r="F116" s="25"/>
      <c r="G116" s="25"/>
      <c r="H116" s="25"/>
      <c r="I116" s="25"/>
    </row>
    <row r="117" spans="1:10" x14ac:dyDescent="0.2">
      <c r="B117" s="17" t="s">
        <v>49</v>
      </c>
      <c r="C117" s="25"/>
      <c r="D117" s="25"/>
      <c r="E117" s="25"/>
      <c r="F117" s="25"/>
      <c r="G117" s="25"/>
      <c r="H117" s="25"/>
      <c r="I117" s="25"/>
    </row>
    <row r="118" spans="1:10" x14ac:dyDescent="0.2">
      <c r="B118" s="17" t="s">
        <v>50</v>
      </c>
      <c r="C118" s="19">
        <f t="shared" ref="C118:I118" si="16">IF(AND(LEN(C115)&gt;0,C115&lt;&gt;0),GetDecimalTime(C115)-GetDecimalTime(C114),0)+IF(AND(LEN(C117)&gt;0,C117&lt;&gt;0),GetDecimalTime(C117)-GetDecimalTime(C116),0)</f>
        <v>0</v>
      </c>
      <c r="D118" s="19">
        <f t="shared" si="16"/>
        <v>0</v>
      </c>
      <c r="E118" s="19">
        <f t="shared" si="16"/>
        <v>0</v>
      </c>
      <c r="F118" s="19">
        <f t="shared" si="16"/>
        <v>0</v>
      </c>
      <c r="G118" s="19">
        <f t="shared" si="16"/>
        <v>0</v>
      </c>
      <c r="H118" s="19">
        <f t="shared" si="16"/>
        <v>0</v>
      </c>
      <c r="I118" s="19">
        <f t="shared" si="16"/>
        <v>0</v>
      </c>
      <c r="J118" s="20">
        <f>SUM(C118:I118)</f>
        <v>0</v>
      </c>
    </row>
    <row r="121" spans="1:10" x14ac:dyDescent="0.2">
      <c r="A121" s="15">
        <v>43948</v>
      </c>
      <c r="B121" s="17" t="s">
        <v>48</v>
      </c>
      <c r="C121" s="25"/>
      <c r="D121" s="25"/>
      <c r="E121" s="25"/>
      <c r="F121" s="25"/>
      <c r="G121" s="25"/>
      <c r="H121" s="25"/>
      <c r="I121" s="25"/>
    </row>
    <row r="122" spans="1:10" x14ac:dyDescent="0.2">
      <c r="A122" s="15"/>
      <c r="B122" s="17" t="s">
        <v>49</v>
      </c>
      <c r="C122" s="25"/>
      <c r="D122" s="25"/>
      <c r="E122" s="25"/>
      <c r="F122" s="25"/>
      <c r="G122" s="25"/>
      <c r="H122" s="25"/>
      <c r="I122" s="25"/>
    </row>
    <row r="123" spans="1:10" x14ac:dyDescent="0.2">
      <c r="A123" s="15"/>
      <c r="B123" s="17" t="s">
        <v>48</v>
      </c>
      <c r="C123" s="25"/>
      <c r="D123" s="25"/>
      <c r="E123" s="25"/>
      <c r="F123" s="25"/>
      <c r="G123" s="25"/>
      <c r="H123" s="25"/>
      <c r="I123" s="25"/>
    </row>
    <row r="124" spans="1:10" x14ac:dyDescent="0.2">
      <c r="B124" s="17" t="s">
        <v>49</v>
      </c>
      <c r="C124" s="25"/>
      <c r="D124" s="25"/>
      <c r="E124" s="25"/>
      <c r="F124" s="25"/>
      <c r="G124" s="25"/>
      <c r="H124" s="25"/>
      <c r="I124" s="25"/>
    </row>
    <row r="125" spans="1:10" x14ac:dyDescent="0.2">
      <c r="B125" s="17" t="s">
        <v>50</v>
      </c>
      <c r="C125" s="19">
        <f t="shared" ref="C125:I125" si="17">IF(AND(LEN(C122)&gt;0,C122&lt;&gt;0),GetDecimalTime(C122)-GetDecimalTime(C121),0)+IF(AND(LEN(C124)&gt;0,C124&lt;&gt;0),GetDecimalTime(C124)-GetDecimalTime(C123),0)</f>
        <v>0</v>
      </c>
      <c r="D125" s="19">
        <f t="shared" si="17"/>
        <v>0</v>
      </c>
      <c r="E125" s="19">
        <f t="shared" si="17"/>
        <v>0</v>
      </c>
      <c r="F125" s="19">
        <f t="shared" si="17"/>
        <v>0</v>
      </c>
      <c r="G125" s="19">
        <f t="shared" si="17"/>
        <v>0</v>
      </c>
      <c r="H125" s="19">
        <f t="shared" si="17"/>
        <v>0</v>
      </c>
      <c r="I125" s="19">
        <f t="shared" si="17"/>
        <v>0</v>
      </c>
      <c r="J125" s="20">
        <f>SUM(C125:I125)</f>
        <v>0</v>
      </c>
    </row>
    <row r="128" spans="1:10" x14ac:dyDescent="0.2">
      <c r="A128" s="15">
        <v>43955</v>
      </c>
      <c r="B128" s="17" t="s">
        <v>48</v>
      </c>
      <c r="C128" s="25"/>
      <c r="D128" s="25"/>
      <c r="E128" s="25"/>
      <c r="F128" s="25"/>
      <c r="G128" s="25"/>
      <c r="H128" s="25"/>
      <c r="I128" s="25"/>
    </row>
    <row r="129" spans="1:10" x14ac:dyDescent="0.2">
      <c r="A129" s="15"/>
      <c r="B129" s="17" t="s">
        <v>49</v>
      </c>
      <c r="C129" s="25"/>
      <c r="D129" s="25"/>
      <c r="E129" s="25"/>
      <c r="F129" s="25"/>
      <c r="G129" s="25"/>
      <c r="H129" s="25"/>
      <c r="I129" s="25"/>
    </row>
    <row r="130" spans="1:10" x14ac:dyDescent="0.2">
      <c r="A130" s="15"/>
      <c r="B130" s="17" t="s">
        <v>48</v>
      </c>
      <c r="C130" s="25"/>
      <c r="D130" s="25"/>
      <c r="E130" s="25"/>
      <c r="F130" s="25"/>
      <c r="G130" s="25"/>
      <c r="H130" s="25"/>
      <c r="I130" s="25"/>
    </row>
    <row r="131" spans="1:10" x14ac:dyDescent="0.2">
      <c r="B131" s="17" t="s">
        <v>49</v>
      </c>
      <c r="C131" s="25"/>
      <c r="D131" s="25"/>
      <c r="E131" s="25"/>
      <c r="F131" s="25"/>
      <c r="G131" s="25"/>
      <c r="H131" s="25"/>
      <c r="I131" s="25"/>
    </row>
    <row r="132" spans="1:10" x14ac:dyDescent="0.2">
      <c r="B132" s="17" t="s">
        <v>50</v>
      </c>
      <c r="C132" s="19">
        <f t="shared" ref="C132:I132" si="18">IF(AND(LEN(C129)&gt;0,C129&lt;&gt;0),GetDecimalTime(C129)-GetDecimalTime(C128),0)+IF(AND(LEN(C131)&gt;0,C131&lt;&gt;0),GetDecimalTime(C131)-GetDecimalTime(C130),0)</f>
        <v>0</v>
      </c>
      <c r="D132" s="19">
        <f t="shared" si="18"/>
        <v>0</v>
      </c>
      <c r="E132" s="19">
        <f t="shared" si="18"/>
        <v>0</v>
      </c>
      <c r="F132" s="19">
        <f t="shared" si="18"/>
        <v>0</v>
      </c>
      <c r="G132" s="19">
        <f t="shared" si="18"/>
        <v>0</v>
      </c>
      <c r="H132" s="19">
        <f t="shared" si="18"/>
        <v>0</v>
      </c>
      <c r="I132" s="19">
        <f t="shared" si="18"/>
        <v>0</v>
      </c>
      <c r="J132" s="20">
        <f>SUM(C132:I132)</f>
        <v>0</v>
      </c>
    </row>
    <row r="135" spans="1:10" x14ac:dyDescent="0.2">
      <c r="A135" s="15">
        <v>43962</v>
      </c>
      <c r="B135" s="17" t="s">
        <v>48</v>
      </c>
      <c r="C135" s="25"/>
      <c r="D135" s="25"/>
      <c r="E135" s="25"/>
      <c r="F135" s="25"/>
      <c r="G135" s="25"/>
      <c r="H135" s="25"/>
      <c r="I135" s="25"/>
    </row>
    <row r="136" spans="1:10" x14ac:dyDescent="0.2">
      <c r="A136" s="15"/>
      <c r="B136" s="17" t="s">
        <v>49</v>
      </c>
      <c r="C136" s="25"/>
      <c r="D136" s="25"/>
      <c r="E136" s="25"/>
      <c r="F136" s="25"/>
      <c r="G136" s="25"/>
      <c r="H136" s="25"/>
      <c r="I136" s="25"/>
    </row>
    <row r="137" spans="1:10" x14ac:dyDescent="0.2">
      <c r="A137" s="15"/>
      <c r="B137" s="17" t="s">
        <v>48</v>
      </c>
      <c r="C137" s="25"/>
      <c r="D137" s="25"/>
      <c r="E137" s="25"/>
      <c r="F137" s="25"/>
      <c r="G137" s="25"/>
      <c r="H137" s="25"/>
      <c r="I137" s="25"/>
    </row>
    <row r="138" spans="1:10" x14ac:dyDescent="0.2">
      <c r="B138" s="17" t="s">
        <v>49</v>
      </c>
      <c r="C138" s="25"/>
      <c r="D138" s="25"/>
      <c r="E138" s="25"/>
      <c r="F138" s="25"/>
      <c r="G138" s="25"/>
      <c r="H138" s="25"/>
      <c r="I138" s="25"/>
    </row>
    <row r="139" spans="1:10" x14ac:dyDescent="0.2">
      <c r="B139" s="17" t="s">
        <v>50</v>
      </c>
      <c r="C139" s="19">
        <f t="shared" ref="C139:I139" si="19">IF(AND(LEN(C136)&gt;0,C136&lt;&gt;0),GetDecimalTime(C136)-GetDecimalTime(C135),0)+IF(AND(LEN(C138)&gt;0,C138&lt;&gt;0),GetDecimalTime(C138)-GetDecimalTime(C137),0)</f>
        <v>0</v>
      </c>
      <c r="D139" s="19">
        <f t="shared" si="19"/>
        <v>0</v>
      </c>
      <c r="E139" s="19">
        <f t="shared" si="19"/>
        <v>0</v>
      </c>
      <c r="F139" s="19">
        <f t="shared" si="19"/>
        <v>0</v>
      </c>
      <c r="G139" s="19">
        <f t="shared" si="19"/>
        <v>0</v>
      </c>
      <c r="H139" s="19">
        <f t="shared" si="19"/>
        <v>0</v>
      </c>
      <c r="I139" s="19">
        <f t="shared" si="19"/>
        <v>0</v>
      </c>
      <c r="J139" s="20">
        <f>SUM(C139:I139)</f>
        <v>0</v>
      </c>
    </row>
    <row r="142" spans="1:10" x14ac:dyDescent="0.2">
      <c r="A142" s="15">
        <v>43969</v>
      </c>
      <c r="B142" s="17" t="s">
        <v>48</v>
      </c>
      <c r="C142" s="25"/>
      <c r="D142" s="25"/>
      <c r="E142" s="25"/>
      <c r="F142" s="25"/>
      <c r="G142" s="25"/>
      <c r="H142" s="25"/>
      <c r="I142" s="25"/>
    </row>
    <row r="143" spans="1:10" x14ac:dyDescent="0.2">
      <c r="A143" s="15"/>
      <c r="B143" s="17" t="s">
        <v>49</v>
      </c>
      <c r="C143" s="25"/>
      <c r="D143" s="25"/>
      <c r="E143" s="25"/>
      <c r="F143" s="25"/>
      <c r="G143" s="25"/>
      <c r="H143" s="25"/>
      <c r="I143" s="25"/>
    </row>
    <row r="144" spans="1:10" x14ac:dyDescent="0.2">
      <c r="A144" s="15"/>
      <c r="B144" s="17" t="s">
        <v>48</v>
      </c>
      <c r="C144" s="25"/>
      <c r="D144" s="25"/>
      <c r="E144" s="25"/>
      <c r="F144" s="25"/>
      <c r="G144" s="25"/>
      <c r="H144" s="25"/>
      <c r="I144" s="25"/>
    </row>
    <row r="145" spans="1:10" x14ac:dyDescent="0.2">
      <c r="B145" s="17" t="s">
        <v>49</v>
      </c>
      <c r="C145" s="25"/>
      <c r="D145" s="25"/>
      <c r="E145" s="25"/>
      <c r="F145" s="25"/>
      <c r="G145" s="25"/>
      <c r="H145" s="25"/>
      <c r="I145" s="25"/>
    </row>
    <row r="146" spans="1:10" x14ac:dyDescent="0.2">
      <c r="B146" s="17" t="s">
        <v>50</v>
      </c>
      <c r="C146" s="19">
        <f t="shared" ref="C146:I146" si="20">IF(AND(LEN(C143)&gt;0,C143&lt;&gt;0),GetDecimalTime(C143)-GetDecimalTime(C142),0)+IF(AND(LEN(C145)&gt;0,C145&lt;&gt;0),GetDecimalTime(C145)-GetDecimalTime(C144),0)</f>
        <v>0</v>
      </c>
      <c r="D146" s="19">
        <f t="shared" si="20"/>
        <v>0</v>
      </c>
      <c r="E146" s="19">
        <f t="shared" si="20"/>
        <v>0</v>
      </c>
      <c r="F146" s="19">
        <f t="shared" si="20"/>
        <v>0</v>
      </c>
      <c r="G146" s="19">
        <f t="shared" si="20"/>
        <v>0</v>
      </c>
      <c r="H146" s="19">
        <f t="shared" si="20"/>
        <v>0</v>
      </c>
      <c r="I146" s="19">
        <f t="shared" si="20"/>
        <v>0</v>
      </c>
      <c r="J146" s="20">
        <f>SUM(C146:I146)</f>
        <v>0</v>
      </c>
    </row>
    <row r="149" spans="1:10" x14ac:dyDescent="0.2">
      <c r="A149" s="15">
        <v>43976</v>
      </c>
      <c r="B149" s="17" t="s">
        <v>48</v>
      </c>
      <c r="C149" s="25"/>
      <c r="D149" s="25"/>
      <c r="E149" s="25"/>
      <c r="F149" s="25"/>
      <c r="G149" s="25"/>
      <c r="H149" s="25"/>
      <c r="I149" s="25"/>
    </row>
    <row r="150" spans="1:10" x14ac:dyDescent="0.2">
      <c r="A150" s="15"/>
      <c r="B150" s="17" t="s">
        <v>49</v>
      </c>
      <c r="C150" s="25"/>
      <c r="D150" s="25"/>
      <c r="E150" s="25"/>
      <c r="F150" s="25"/>
      <c r="G150" s="25"/>
      <c r="H150" s="25"/>
      <c r="I150" s="25"/>
    </row>
    <row r="151" spans="1:10" x14ac:dyDescent="0.2">
      <c r="A151" s="15"/>
      <c r="B151" s="17" t="s">
        <v>48</v>
      </c>
      <c r="C151" s="25"/>
      <c r="D151" s="25"/>
      <c r="E151" s="25"/>
      <c r="F151" s="25"/>
      <c r="G151" s="25"/>
      <c r="H151" s="25"/>
      <c r="I151" s="25"/>
    </row>
    <row r="152" spans="1:10" x14ac:dyDescent="0.2">
      <c r="B152" s="17" t="s">
        <v>49</v>
      </c>
      <c r="C152" s="25"/>
      <c r="D152" s="25"/>
      <c r="E152" s="25"/>
      <c r="F152" s="25"/>
      <c r="G152" s="25"/>
      <c r="H152" s="25"/>
      <c r="I152" s="25"/>
    </row>
    <row r="153" spans="1:10" x14ac:dyDescent="0.2">
      <c r="B153" s="17" t="s">
        <v>50</v>
      </c>
      <c r="C153" s="19">
        <f t="shared" ref="C153:I153" si="21">IF(AND(LEN(C150)&gt;0,C150&lt;&gt;0),GetDecimalTime(C150)-GetDecimalTime(C149),0)+IF(AND(LEN(C152)&gt;0,C152&lt;&gt;0),GetDecimalTime(C152)-GetDecimalTime(C151),0)</f>
        <v>0</v>
      </c>
      <c r="D153" s="19">
        <f t="shared" si="21"/>
        <v>0</v>
      </c>
      <c r="E153" s="19">
        <f t="shared" si="21"/>
        <v>0</v>
      </c>
      <c r="F153" s="19">
        <f t="shared" si="21"/>
        <v>0</v>
      </c>
      <c r="G153" s="19">
        <f t="shared" si="21"/>
        <v>0</v>
      </c>
      <c r="H153" s="19">
        <f t="shared" si="21"/>
        <v>0</v>
      </c>
      <c r="I153" s="19">
        <f t="shared" si="21"/>
        <v>0</v>
      </c>
      <c r="J153" s="20">
        <f>SUM(C153:I153)</f>
        <v>0</v>
      </c>
    </row>
    <row r="156" spans="1:10" x14ac:dyDescent="0.2">
      <c r="A156" s="15">
        <v>43983</v>
      </c>
      <c r="B156" s="17" t="s">
        <v>48</v>
      </c>
      <c r="C156" s="25"/>
      <c r="D156" s="25"/>
      <c r="E156" s="25"/>
      <c r="F156" s="25"/>
      <c r="G156" s="25"/>
      <c r="H156" s="25"/>
      <c r="I156" s="25"/>
    </row>
    <row r="157" spans="1:10" x14ac:dyDescent="0.2">
      <c r="A157" s="15"/>
      <c r="B157" s="17" t="s">
        <v>49</v>
      </c>
      <c r="C157" s="25"/>
      <c r="D157" s="25"/>
      <c r="E157" s="25"/>
      <c r="F157" s="25"/>
      <c r="G157" s="25"/>
      <c r="H157" s="25"/>
      <c r="I157" s="25"/>
    </row>
    <row r="158" spans="1:10" x14ac:dyDescent="0.2">
      <c r="A158" s="15"/>
      <c r="B158" s="17" t="s">
        <v>48</v>
      </c>
      <c r="C158" s="25"/>
      <c r="D158" s="25"/>
      <c r="E158" s="25"/>
      <c r="F158" s="25"/>
      <c r="G158" s="25"/>
      <c r="H158" s="25"/>
      <c r="I158" s="25"/>
    </row>
    <row r="159" spans="1:10" x14ac:dyDescent="0.2">
      <c r="B159" s="17" t="s">
        <v>49</v>
      </c>
      <c r="C159" s="25"/>
      <c r="D159" s="25"/>
      <c r="E159" s="25"/>
      <c r="F159" s="25"/>
      <c r="G159" s="25"/>
      <c r="H159" s="25"/>
      <c r="I159" s="25"/>
    </row>
    <row r="160" spans="1:10" x14ac:dyDescent="0.2">
      <c r="B160" s="17" t="s">
        <v>50</v>
      </c>
      <c r="C160" s="19">
        <f t="shared" ref="C160:I160" si="22">IF(AND(LEN(C157)&gt;0,C157&lt;&gt;0),GetDecimalTime(C157)-GetDecimalTime(C156),0)+IF(AND(LEN(C159)&gt;0,C159&lt;&gt;0),GetDecimalTime(C159)-GetDecimalTime(C158),0)</f>
        <v>0</v>
      </c>
      <c r="D160" s="19">
        <f t="shared" si="22"/>
        <v>0</v>
      </c>
      <c r="E160" s="19">
        <f t="shared" si="22"/>
        <v>0</v>
      </c>
      <c r="F160" s="19">
        <f t="shared" si="22"/>
        <v>0</v>
      </c>
      <c r="G160" s="19">
        <f t="shared" si="22"/>
        <v>0</v>
      </c>
      <c r="H160" s="19">
        <f t="shared" si="22"/>
        <v>0</v>
      </c>
      <c r="I160" s="19">
        <f t="shared" si="22"/>
        <v>0</v>
      </c>
      <c r="J160" s="20">
        <f>SUM(C160:I160)</f>
        <v>0</v>
      </c>
    </row>
    <row r="163" spans="1:10" x14ac:dyDescent="0.2">
      <c r="A163" s="15">
        <v>43990</v>
      </c>
      <c r="B163" s="17" t="s">
        <v>48</v>
      </c>
      <c r="C163" s="25"/>
      <c r="D163" s="25"/>
      <c r="E163" s="25"/>
      <c r="F163" s="25"/>
      <c r="G163" s="25"/>
      <c r="H163" s="25"/>
      <c r="I163" s="25"/>
    </row>
    <row r="164" spans="1:10" x14ac:dyDescent="0.2">
      <c r="A164" s="15"/>
      <c r="B164" s="17" t="s">
        <v>49</v>
      </c>
      <c r="C164" s="25"/>
      <c r="D164" s="25"/>
      <c r="E164" s="25"/>
      <c r="F164" s="25"/>
      <c r="G164" s="25"/>
      <c r="H164" s="25"/>
      <c r="I164" s="25"/>
    </row>
    <row r="165" spans="1:10" x14ac:dyDescent="0.2">
      <c r="A165" s="15"/>
      <c r="B165" s="17" t="s">
        <v>48</v>
      </c>
      <c r="C165" s="25"/>
      <c r="D165" s="25"/>
      <c r="E165" s="25"/>
      <c r="F165" s="25"/>
      <c r="G165" s="25"/>
      <c r="H165" s="25"/>
      <c r="I165" s="25"/>
    </row>
    <row r="166" spans="1:10" x14ac:dyDescent="0.2">
      <c r="B166" s="17" t="s">
        <v>49</v>
      </c>
      <c r="C166" s="25"/>
      <c r="D166" s="25"/>
      <c r="E166" s="25"/>
      <c r="F166" s="25"/>
      <c r="G166" s="25"/>
      <c r="H166" s="25"/>
      <c r="I166" s="25"/>
    </row>
    <row r="167" spans="1:10" x14ac:dyDescent="0.2">
      <c r="B167" s="17" t="s">
        <v>50</v>
      </c>
      <c r="C167" s="19">
        <f t="shared" ref="C167:I167" si="23">IF(AND(LEN(C164)&gt;0,C164&lt;&gt;0),GetDecimalTime(C164)-GetDecimalTime(C163),0)+IF(AND(LEN(C166)&gt;0,C166&lt;&gt;0),GetDecimalTime(C166)-GetDecimalTime(C165),0)</f>
        <v>0</v>
      </c>
      <c r="D167" s="19">
        <f t="shared" si="23"/>
        <v>0</v>
      </c>
      <c r="E167" s="19">
        <f t="shared" si="23"/>
        <v>0</v>
      </c>
      <c r="F167" s="19">
        <f t="shared" si="23"/>
        <v>0</v>
      </c>
      <c r="G167" s="19">
        <f t="shared" si="23"/>
        <v>0</v>
      </c>
      <c r="H167" s="19">
        <f t="shared" si="23"/>
        <v>0</v>
      </c>
      <c r="I167" s="19">
        <f t="shared" si="23"/>
        <v>0</v>
      </c>
      <c r="J167" s="20">
        <f>SUM(C167:I167)</f>
        <v>0</v>
      </c>
    </row>
    <row r="170" spans="1:10" x14ac:dyDescent="0.2">
      <c r="A170" s="15">
        <v>43997</v>
      </c>
      <c r="B170" s="17" t="s">
        <v>48</v>
      </c>
      <c r="C170" s="25"/>
      <c r="D170" s="25"/>
      <c r="E170" s="25"/>
      <c r="F170" s="25"/>
      <c r="G170" s="25"/>
      <c r="H170" s="25"/>
      <c r="I170" s="25"/>
    </row>
    <row r="171" spans="1:10" x14ac:dyDescent="0.2">
      <c r="A171" s="15"/>
      <c r="B171" s="17" t="s">
        <v>49</v>
      </c>
      <c r="C171" s="25"/>
      <c r="D171" s="25"/>
      <c r="E171" s="25"/>
      <c r="F171" s="25"/>
      <c r="G171" s="25"/>
      <c r="H171" s="25"/>
      <c r="I171" s="25"/>
    </row>
    <row r="172" spans="1:10" x14ac:dyDescent="0.2">
      <c r="A172" s="15"/>
      <c r="B172" s="17" t="s">
        <v>48</v>
      </c>
      <c r="C172" s="25"/>
      <c r="D172" s="25"/>
      <c r="E172" s="25"/>
      <c r="F172" s="25"/>
      <c r="G172" s="25"/>
      <c r="H172" s="25"/>
      <c r="I172" s="25"/>
    </row>
    <row r="173" spans="1:10" x14ac:dyDescent="0.2">
      <c r="B173" s="17" t="s">
        <v>49</v>
      </c>
      <c r="C173" s="25"/>
      <c r="D173" s="25"/>
      <c r="E173" s="25"/>
      <c r="F173" s="25"/>
      <c r="G173" s="25"/>
      <c r="H173" s="25"/>
      <c r="I173" s="25"/>
    </row>
    <row r="174" spans="1:10" x14ac:dyDescent="0.2">
      <c r="B174" s="17" t="s">
        <v>50</v>
      </c>
      <c r="C174" s="19">
        <f t="shared" ref="C174:I174" si="24">IF(AND(LEN(C171)&gt;0,C171&lt;&gt;0),GetDecimalTime(C171)-GetDecimalTime(C170),0)+IF(AND(LEN(C173)&gt;0,C173&lt;&gt;0),GetDecimalTime(C173)-GetDecimalTime(C172),0)</f>
        <v>0</v>
      </c>
      <c r="D174" s="19">
        <f t="shared" si="24"/>
        <v>0</v>
      </c>
      <c r="E174" s="19">
        <f t="shared" si="24"/>
        <v>0</v>
      </c>
      <c r="F174" s="19">
        <f t="shared" si="24"/>
        <v>0</v>
      </c>
      <c r="G174" s="19">
        <f t="shared" si="24"/>
        <v>0</v>
      </c>
      <c r="H174" s="19">
        <f t="shared" si="24"/>
        <v>0</v>
      </c>
      <c r="I174" s="19">
        <f t="shared" si="24"/>
        <v>0</v>
      </c>
      <c r="J174" s="20">
        <f>SUM(C174:I174)</f>
        <v>0</v>
      </c>
    </row>
    <row r="177" spans="1:10" x14ac:dyDescent="0.2">
      <c r="A177" s="15">
        <v>44004</v>
      </c>
      <c r="B177" s="17" t="s">
        <v>48</v>
      </c>
      <c r="C177" s="25"/>
      <c r="D177" s="25"/>
      <c r="E177" s="25"/>
      <c r="F177" s="25"/>
      <c r="G177" s="25"/>
      <c r="H177" s="25"/>
      <c r="I177" s="25"/>
    </row>
    <row r="178" spans="1:10" x14ac:dyDescent="0.2">
      <c r="A178" s="15"/>
      <c r="B178" s="17" t="s">
        <v>49</v>
      </c>
      <c r="C178" s="25"/>
      <c r="D178" s="25"/>
      <c r="E178" s="25"/>
      <c r="F178" s="25"/>
      <c r="G178" s="25"/>
      <c r="H178" s="25"/>
      <c r="I178" s="25"/>
    </row>
    <row r="179" spans="1:10" x14ac:dyDescent="0.2">
      <c r="A179" s="15"/>
      <c r="B179" s="17" t="s">
        <v>48</v>
      </c>
      <c r="C179" s="25"/>
      <c r="D179" s="25"/>
      <c r="E179" s="25"/>
      <c r="F179" s="25"/>
      <c r="G179" s="25"/>
      <c r="H179" s="25"/>
      <c r="I179" s="25"/>
    </row>
    <row r="180" spans="1:10" x14ac:dyDescent="0.2">
      <c r="B180" s="17" t="s">
        <v>49</v>
      </c>
      <c r="C180" s="25"/>
      <c r="D180" s="25"/>
      <c r="E180" s="25"/>
      <c r="F180" s="25"/>
      <c r="G180" s="25"/>
      <c r="H180" s="25"/>
      <c r="I180" s="25"/>
    </row>
    <row r="181" spans="1:10" x14ac:dyDescent="0.2">
      <c r="B181" s="17" t="s">
        <v>50</v>
      </c>
      <c r="C181" s="19">
        <f t="shared" ref="C181:I181" si="25">IF(AND(LEN(C178)&gt;0,C178&lt;&gt;0),GetDecimalTime(C178)-GetDecimalTime(C177),0)+IF(AND(LEN(C180)&gt;0,C180&lt;&gt;0),GetDecimalTime(C180)-GetDecimalTime(C179),0)</f>
        <v>0</v>
      </c>
      <c r="D181" s="19">
        <f t="shared" si="25"/>
        <v>0</v>
      </c>
      <c r="E181" s="19">
        <f t="shared" si="25"/>
        <v>0</v>
      </c>
      <c r="F181" s="19">
        <f t="shared" si="25"/>
        <v>0</v>
      </c>
      <c r="G181" s="19">
        <f t="shared" si="25"/>
        <v>0</v>
      </c>
      <c r="H181" s="19">
        <f t="shared" si="25"/>
        <v>0</v>
      </c>
      <c r="I181" s="19">
        <f t="shared" si="25"/>
        <v>0</v>
      </c>
      <c r="J181" s="20">
        <f>SUM(C181:I181)</f>
        <v>0</v>
      </c>
    </row>
    <row r="184" spans="1:10" x14ac:dyDescent="0.2">
      <c r="A184" s="15">
        <v>44011</v>
      </c>
      <c r="B184" s="17" t="s">
        <v>48</v>
      </c>
      <c r="C184" s="25"/>
      <c r="D184" s="25"/>
      <c r="E184" s="25"/>
      <c r="F184" s="25"/>
      <c r="G184" s="25"/>
      <c r="H184" s="25"/>
      <c r="I184" s="25"/>
    </row>
    <row r="185" spans="1:10" x14ac:dyDescent="0.2">
      <c r="A185" s="15"/>
      <c r="B185" s="17" t="s">
        <v>49</v>
      </c>
      <c r="C185" s="25"/>
      <c r="D185" s="25"/>
      <c r="E185" s="25"/>
      <c r="F185" s="25"/>
      <c r="G185" s="25"/>
      <c r="H185" s="25"/>
      <c r="I185" s="25"/>
    </row>
    <row r="186" spans="1:10" x14ac:dyDescent="0.2">
      <c r="A186" s="15"/>
      <c r="B186" s="17" t="s">
        <v>48</v>
      </c>
      <c r="C186" s="25"/>
      <c r="D186" s="25"/>
      <c r="E186" s="25"/>
      <c r="F186" s="25"/>
      <c r="G186" s="25"/>
      <c r="H186" s="25"/>
      <c r="I186" s="25"/>
    </row>
    <row r="187" spans="1:10" x14ac:dyDescent="0.2">
      <c r="B187" s="17" t="s">
        <v>49</v>
      </c>
      <c r="C187" s="25"/>
      <c r="D187" s="25"/>
      <c r="E187" s="25"/>
      <c r="F187" s="25"/>
      <c r="G187" s="25"/>
      <c r="H187" s="25"/>
      <c r="I187" s="25"/>
    </row>
    <row r="188" spans="1:10" x14ac:dyDescent="0.2">
      <c r="B188" s="17" t="s">
        <v>50</v>
      </c>
      <c r="C188" s="19">
        <f t="shared" ref="C188:I188" si="26">IF(AND(LEN(C185)&gt;0,C185&lt;&gt;0),GetDecimalTime(C185)-GetDecimalTime(C184),0)+IF(AND(LEN(C187)&gt;0,C187&lt;&gt;0),GetDecimalTime(C187)-GetDecimalTime(C186),0)</f>
        <v>0</v>
      </c>
      <c r="D188" s="19">
        <f t="shared" si="26"/>
        <v>0</v>
      </c>
      <c r="E188" s="19">
        <f t="shared" si="26"/>
        <v>0</v>
      </c>
      <c r="F188" s="19">
        <f t="shared" si="26"/>
        <v>0</v>
      </c>
      <c r="G188" s="19">
        <f t="shared" si="26"/>
        <v>0</v>
      </c>
      <c r="H188" s="19">
        <f t="shared" si="26"/>
        <v>0</v>
      </c>
      <c r="I188" s="19">
        <f t="shared" si="26"/>
        <v>0</v>
      </c>
      <c r="J188" s="20">
        <f>SUM(C188:I188)</f>
        <v>0</v>
      </c>
    </row>
    <row r="191" spans="1:10" x14ac:dyDescent="0.2">
      <c r="A191" s="15">
        <v>44018</v>
      </c>
      <c r="B191" s="17" t="s">
        <v>48</v>
      </c>
      <c r="C191" s="25"/>
      <c r="D191" s="25"/>
      <c r="E191" s="25"/>
      <c r="F191" s="25"/>
      <c r="G191" s="25"/>
      <c r="H191" s="25"/>
      <c r="I191" s="25"/>
    </row>
    <row r="192" spans="1:10" x14ac:dyDescent="0.2">
      <c r="A192" s="15"/>
      <c r="B192" s="17" t="s">
        <v>49</v>
      </c>
      <c r="C192" s="25"/>
      <c r="D192" s="25"/>
      <c r="E192" s="25"/>
      <c r="F192" s="25"/>
      <c r="G192" s="25"/>
      <c r="H192" s="25"/>
      <c r="I192" s="25"/>
    </row>
    <row r="193" spans="1:10" x14ac:dyDescent="0.2">
      <c r="A193" s="15"/>
      <c r="B193" s="17" t="s">
        <v>48</v>
      </c>
      <c r="C193" s="25"/>
      <c r="D193" s="25"/>
      <c r="E193" s="25"/>
      <c r="F193" s="25"/>
      <c r="G193" s="25"/>
      <c r="H193" s="25"/>
      <c r="I193" s="25"/>
    </row>
    <row r="194" spans="1:10" x14ac:dyDescent="0.2">
      <c r="B194" s="17" t="s">
        <v>49</v>
      </c>
      <c r="C194" s="25"/>
      <c r="D194" s="25"/>
      <c r="E194" s="25"/>
      <c r="F194" s="25"/>
      <c r="G194" s="25"/>
      <c r="H194" s="25"/>
      <c r="I194" s="25"/>
    </row>
    <row r="195" spans="1:10" x14ac:dyDescent="0.2">
      <c r="B195" s="17" t="s">
        <v>50</v>
      </c>
      <c r="C195" s="19">
        <f t="shared" ref="C195:I195" si="27">IF(AND(LEN(C192)&gt;0,C192&lt;&gt;0),GetDecimalTime(C192)-GetDecimalTime(C191),0)+IF(AND(LEN(C194)&gt;0,C194&lt;&gt;0),GetDecimalTime(C194)-GetDecimalTime(C193),0)</f>
        <v>0</v>
      </c>
      <c r="D195" s="19">
        <f t="shared" si="27"/>
        <v>0</v>
      </c>
      <c r="E195" s="19">
        <f t="shared" si="27"/>
        <v>0</v>
      </c>
      <c r="F195" s="19">
        <f t="shared" si="27"/>
        <v>0</v>
      </c>
      <c r="G195" s="19">
        <f t="shared" si="27"/>
        <v>0</v>
      </c>
      <c r="H195" s="19">
        <f t="shared" si="27"/>
        <v>0</v>
      </c>
      <c r="I195" s="19">
        <f t="shared" si="27"/>
        <v>0</v>
      </c>
      <c r="J195" s="20">
        <f>SUM(C195:I195)</f>
        <v>0</v>
      </c>
    </row>
    <row r="198" spans="1:10" x14ac:dyDescent="0.2">
      <c r="A198" s="15">
        <v>44025</v>
      </c>
      <c r="B198" s="17" t="s">
        <v>48</v>
      </c>
      <c r="C198" s="25"/>
      <c r="D198" s="25"/>
      <c r="E198" s="25"/>
      <c r="F198" s="25"/>
      <c r="G198" s="25"/>
      <c r="H198" s="25"/>
      <c r="I198" s="25"/>
    </row>
    <row r="199" spans="1:10" x14ac:dyDescent="0.2">
      <c r="A199" s="15"/>
      <c r="B199" s="17" t="s">
        <v>49</v>
      </c>
      <c r="C199" s="25"/>
      <c r="D199" s="25"/>
      <c r="E199" s="25"/>
      <c r="F199" s="25"/>
      <c r="G199" s="25"/>
      <c r="H199" s="25"/>
      <c r="I199" s="25"/>
    </row>
    <row r="200" spans="1:10" x14ac:dyDescent="0.2">
      <c r="A200" s="15"/>
      <c r="B200" s="17" t="s">
        <v>48</v>
      </c>
      <c r="C200" s="25"/>
      <c r="D200" s="25"/>
      <c r="E200" s="25"/>
      <c r="F200" s="25"/>
      <c r="G200" s="25"/>
      <c r="H200" s="25"/>
      <c r="I200" s="25"/>
    </row>
    <row r="201" spans="1:10" x14ac:dyDescent="0.2">
      <c r="B201" s="17" t="s">
        <v>49</v>
      </c>
      <c r="C201" s="25"/>
      <c r="D201" s="25"/>
      <c r="E201" s="25"/>
      <c r="F201" s="25"/>
      <c r="G201" s="25"/>
      <c r="H201" s="25"/>
      <c r="I201" s="25"/>
    </row>
    <row r="202" spans="1:10" x14ac:dyDescent="0.2">
      <c r="B202" s="17" t="s">
        <v>50</v>
      </c>
      <c r="C202" s="19">
        <f t="shared" ref="C202:I202" si="28">IF(AND(LEN(C199)&gt;0,C199&lt;&gt;0),GetDecimalTime(C199)-GetDecimalTime(C198),0)+IF(AND(LEN(C201)&gt;0,C201&lt;&gt;0),GetDecimalTime(C201)-GetDecimalTime(C200),0)</f>
        <v>0</v>
      </c>
      <c r="D202" s="19">
        <f t="shared" si="28"/>
        <v>0</v>
      </c>
      <c r="E202" s="19">
        <f t="shared" si="28"/>
        <v>0</v>
      </c>
      <c r="F202" s="19">
        <f t="shared" si="28"/>
        <v>0</v>
      </c>
      <c r="G202" s="19">
        <f t="shared" si="28"/>
        <v>0</v>
      </c>
      <c r="H202" s="19">
        <f t="shared" si="28"/>
        <v>0</v>
      </c>
      <c r="I202" s="19">
        <f t="shared" si="28"/>
        <v>0</v>
      </c>
      <c r="J202" s="20">
        <f>SUM(C202:I202)</f>
        <v>0</v>
      </c>
    </row>
    <row r="205" spans="1:10" x14ac:dyDescent="0.2">
      <c r="A205" s="15">
        <v>44032</v>
      </c>
      <c r="B205" s="17" t="s">
        <v>48</v>
      </c>
      <c r="C205" s="25"/>
      <c r="D205" s="25"/>
      <c r="E205" s="25"/>
      <c r="F205" s="25"/>
      <c r="G205" s="25"/>
      <c r="H205" s="25"/>
      <c r="I205" s="25"/>
    </row>
    <row r="206" spans="1:10" x14ac:dyDescent="0.2">
      <c r="A206" s="15"/>
      <c r="B206" s="17" t="s">
        <v>49</v>
      </c>
      <c r="C206" s="25"/>
      <c r="D206" s="25"/>
      <c r="E206" s="25"/>
      <c r="F206" s="25"/>
      <c r="G206" s="25"/>
      <c r="H206" s="25"/>
      <c r="I206" s="25"/>
    </row>
    <row r="207" spans="1:10" x14ac:dyDescent="0.2">
      <c r="A207" s="15"/>
      <c r="B207" s="17" t="s">
        <v>48</v>
      </c>
      <c r="C207" s="25"/>
      <c r="D207" s="25"/>
      <c r="E207" s="25"/>
      <c r="F207" s="25"/>
      <c r="G207" s="25"/>
      <c r="H207" s="25"/>
      <c r="I207" s="25"/>
    </row>
    <row r="208" spans="1:10" x14ac:dyDescent="0.2">
      <c r="B208" s="17" t="s">
        <v>49</v>
      </c>
      <c r="C208" s="25"/>
      <c r="D208" s="25"/>
      <c r="E208" s="25"/>
      <c r="F208" s="25"/>
      <c r="G208" s="25"/>
      <c r="H208" s="25"/>
      <c r="I208" s="25"/>
    </row>
    <row r="209" spans="1:10" x14ac:dyDescent="0.2">
      <c r="B209" s="17" t="s">
        <v>50</v>
      </c>
      <c r="C209" s="19">
        <f t="shared" ref="C209:I209" si="29">IF(AND(LEN(C206)&gt;0,C206&lt;&gt;0),GetDecimalTime(C206)-GetDecimalTime(C205),0)+IF(AND(LEN(C208)&gt;0,C208&lt;&gt;0),GetDecimalTime(C208)-GetDecimalTime(C207),0)</f>
        <v>0</v>
      </c>
      <c r="D209" s="19">
        <f t="shared" si="29"/>
        <v>0</v>
      </c>
      <c r="E209" s="19">
        <f t="shared" si="29"/>
        <v>0</v>
      </c>
      <c r="F209" s="19">
        <f t="shared" si="29"/>
        <v>0</v>
      </c>
      <c r="G209" s="19">
        <f t="shared" si="29"/>
        <v>0</v>
      </c>
      <c r="H209" s="19">
        <f t="shared" si="29"/>
        <v>0</v>
      </c>
      <c r="I209" s="19">
        <f t="shared" si="29"/>
        <v>0</v>
      </c>
      <c r="J209" s="20">
        <f>SUM(C209:I209)</f>
        <v>0</v>
      </c>
    </row>
    <row r="212" spans="1:10" x14ac:dyDescent="0.2">
      <c r="A212" s="15">
        <v>44039</v>
      </c>
      <c r="B212" s="17" t="s">
        <v>48</v>
      </c>
      <c r="C212" s="25"/>
      <c r="D212" s="25"/>
      <c r="E212" s="25"/>
      <c r="F212" s="25"/>
      <c r="G212" s="25"/>
      <c r="H212" s="25"/>
      <c r="I212" s="25"/>
    </row>
    <row r="213" spans="1:10" x14ac:dyDescent="0.2">
      <c r="A213" s="15"/>
      <c r="B213" s="17" t="s">
        <v>49</v>
      </c>
      <c r="C213" s="25"/>
      <c r="D213" s="25"/>
      <c r="E213" s="25"/>
      <c r="F213" s="25"/>
      <c r="G213" s="25"/>
      <c r="H213" s="25"/>
      <c r="I213" s="25"/>
    </row>
    <row r="214" spans="1:10" x14ac:dyDescent="0.2">
      <c r="A214" s="15"/>
      <c r="B214" s="17" t="s">
        <v>48</v>
      </c>
      <c r="C214" s="25"/>
      <c r="D214" s="25"/>
      <c r="E214" s="25"/>
      <c r="F214" s="25"/>
      <c r="G214" s="25"/>
      <c r="H214" s="25"/>
      <c r="I214" s="25"/>
    </row>
    <row r="215" spans="1:10" x14ac:dyDescent="0.2">
      <c r="B215" s="17" t="s">
        <v>49</v>
      </c>
      <c r="C215" s="25"/>
      <c r="D215" s="25"/>
      <c r="E215" s="25"/>
      <c r="F215" s="25"/>
      <c r="G215" s="25"/>
      <c r="H215" s="25"/>
      <c r="I215" s="25"/>
    </row>
    <row r="216" spans="1:10" x14ac:dyDescent="0.2">
      <c r="B216" s="17" t="s">
        <v>50</v>
      </c>
      <c r="C216" s="19">
        <f t="shared" ref="C216:I216" si="30">IF(AND(LEN(C213)&gt;0,C213&lt;&gt;0),GetDecimalTime(C213)-GetDecimalTime(C212),0)+IF(AND(LEN(C215)&gt;0,C215&lt;&gt;0),GetDecimalTime(C215)-GetDecimalTime(C214),0)</f>
        <v>0</v>
      </c>
      <c r="D216" s="19">
        <f t="shared" si="30"/>
        <v>0</v>
      </c>
      <c r="E216" s="19">
        <f t="shared" si="30"/>
        <v>0</v>
      </c>
      <c r="F216" s="19">
        <f t="shared" si="30"/>
        <v>0</v>
      </c>
      <c r="G216" s="19">
        <f t="shared" si="30"/>
        <v>0</v>
      </c>
      <c r="H216" s="19">
        <f t="shared" si="30"/>
        <v>0</v>
      </c>
      <c r="I216" s="19">
        <f t="shared" si="30"/>
        <v>0</v>
      </c>
      <c r="J216" s="20">
        <f>SUM(C216:I216)</f>
        <v>0</v>
      </c>
    </row>
    <row r="219" spans="1:10" x14ac:dyDescent="0.2">
      <c r="A219" s="15">
        <v>44046</v>
      </c>
      <c r="B219" s="17" t="s">
        <v>48</v>
      </c>
      <c r="C219" s="25"/>
      <c r="D219" s="25"/>
      <c r="E219" s="25"/>
      <c r="F219" s="25"/>
      <c r="G219" s="25"/>
      <c r="H219" s="25"/>
      <c r="I219" s="25"/>
    </row>
    <row r="220" spans="1:10" x14ac:dyDescent="0.2">
      <c r="A220" s="15"/>
      <c r="B220" s="17" t="s">
        <v>49</v>
      </c>
      <c r="C220" s="25"/>
      <c r="D220" s="25"/>
      <c r="E220" s="25"/>
      <c r="F220" s="25"/>
      <c r="G220" s="25"/>
      <c r="H220" s="25"/>
      <c r="I220" s="25"/>
    </row>
    <row r="221" spans="1:10" x14ac:dyDescent="0.2">
      <c r="A221" s="15"/>
      <c r="B221" s="17" t="s">
        <v>48</v>
      </c>
      <c r="C221" s="25"/>
      <c r="D221" s="25"/>
      <c r="E221" s="25"/>
      <c r="F221" s="25"/>
      <c r="G221" s="25"/>
      <c r="H221" s="25"/>
      <c r="I221" s="25"/>
    </row>
    <row r="222" spans="1:10" x14ac:dyDescent="0.2">
      <c r="B222" s="17" t="s">
        <v>49</v>
      </c>
      <c r="C222" s="25"/>
      <c r="D222" s="25"/>
      <c r="E222" s="25"/>
      <c r="F222" s="25"/>
      <c r="G222" s="25"/>
      <c r="H222" s="25"/>
      <c r="I222" s="25"/>
    </row>
    <row r="223" spans="1:10" x14ac:dyDescent="0.2">
      <c r="B223" s="17" t="s">
        <v>50</v>
      </c>
      <c r="C223" s="19">
        <f t="shared" ref="C223:I223" si="31">IF(AND(LEN(C220)&gt;0,C220&lt;&gt;0),GetDecimalTime(C220)-GetDecimalTime(C219),0)+IF(AND(LEN(C222)&gt;0,C222&lt;&gt;0),GetDecimalTime(C222)-GetDecimalTime(C221),0)</f>
        <v>0</v>
      </c>
      <c r="D223" s="19">
        <f t="shared" si="31"/>
        <v>0</v>
      </c>
      <c r="E223" s="19">
        <f t="shared" si="31"/>
        <v>0</v>
      </c>
      <c r="F223" s="19">
        <f t="shared" si="31"/>
        <v>0</v>
      </c>
      <c r="G223" s="19">
        <f t="shared" si="31"/>
        <v>0</v>
      </c>
      <c r="H223" s="19">
        <f t="shared" si="31"/>
        <v>0</v>
      </c>
      <c r="I223" s="19">
        <f t="shared" si="31"/>
        <v>0</v>
      </c>
      <c r="J223" s="20">
        <f>SUM(C223:I223)</f>
        <v>0</v>
      </c>
    </row>
    <row r="226" spans="1:10" x14ac:dyDescent="0.2">
      <c r="A226" s="15">
        <v>44053</v>
      </c>
      <c r="B226" s="17" t="s">
        <v>48</v>
      </c>
      <c r="C226" s="25"/>
      <c r="D226" s="25"/>
      <c r="E226" s="25"/>
      <c r="F226" s="25"/>
      <c r="G226" s="25"/>
      <c r="H226" s="25"/>
      <c r="I226" s="25"/>
    </row>
    <row r="227" spans="1:10" x14ac:dyDescent="0.2">
      <c r="A227" s="15"/>
      <c r="B227" s="17" t="s">
        <v>49</v>
      </c>
      <c r="C227" s="25"/>
      <c r="D227" s="25"/>
      <c r="E227" s="25"/>
      <c r="F227" s="25"/>
      <c r="G227" s="25"/>
      <c r="H227" s="25"/>
      <c r="I227" s="25"/>
    </row>
    <row r="228" spans="1:10" x14ac:dyDescent="0.2">
      <c r="A228" s="15"/>
      <c r="B228" s="17" t="s">
        <v>48</v>
      </c>
      <c r="C228" s="25"/>
      <c r="D228" s="25"/>
      <c r="E228" s="25"/>
      <c r="F228" s="25"/>
      <c r="G228" s="25"/>
      <c r="H228" s="25"/>
      <c r="I228" s="25"/>
    </row>
    <row r="229" spans="1:10" x14ac:dyDescent="0.2">
      <c r="B229" s="17" t="s">
        <v>49</v>
      </c>
      <c r="C229" s="25"/>
      <c r="D229" s="25"/>
      <c r="E229" s="25"/>
      <c r="F229" s="25"/>
      <c r="G229" s="25"/>
      <c r="H229" s="25"/>
      <c r="I229" s="25"/>
    </row>
    <row r="230" spans="1:10" x14ac:dyDescent="0.2">
      <c r="B230" s="17" t="s">
        <v>50</v>
      </c>
      <c r="C230" s="19">
        <f t="shared" ref="C230:I230" si="32">IF(AND(LEN(C227)&gt;0,C227&lt;&gt;0),GetDecimalTime(C227)-GetDecimalTime(C226),0)+IF(AND(LEN(C229)&gt;0,C229&lt;&gt;0),GetDecimalTime(C229)-GetDecimalTime(C228),0)</f>
        <v>0</v>
      </c>
      <c r="D230" s="19">
        <f t="shared" si="32"/>
        <v>0</v>
      </c>
      <c r="E230" s="19">
        <f t="shared" si="32"/>
        <v>0</v>
      </c>
      <c r="F230" s="19">
        <f t="shared" si="32"/>
        <v>0</v>
      </c>
      <c r="G230" s="19">
        <f t="shared" si="32"/>
        <v>0</v>
      </c>
      <c r="H230" s="19">
        <f t="shared" si="32"/>
        <v>0</v>
      </c>
      <c r="I230" s="19">
        <f t="shared" si="32"/>
        <v>0</v>
      </c>
      <c r="J230" s="20">
        <f>SUM(C230:I230)</f>
        <v>0</v>
      </c>
    </row>
    <row r="233" spans="1:10" x14ac:dyDescent="0.2">
      <c r="A233" s="15">
        <v>44060</v>
      </c>
      <c r="B233" s="17" t="s">
        <v>48</v>
      </c>
      <c r="C233" s="25"/>
      <c r="D233" s="25"/>
      <c r="E233" s="25"/>
      <c r="F233" s="25"/>
      <c r="G233" s="25"/>
      <c r="H233" s="25"/>
      <c r="I233" s="25"/>
    </row>
    <row r="234" spans="1:10" x14ac:dyDescent="0.2">
      <c r="A234" s="15"/>
      <c r="B234" s="17" t="s">
        <v>49</v>
      </c>
      <c r="C234" s="25"/>
      <c r="D234" s="25"/>
      <c r="E234" s="25"/>
      <c r="F234" s="25"/>
      <c r="G234" s="25"/>
      <c r="H234" s="25"/>
      <c r="I234" s="25"/>
    </row>
    <row r="235" spans="1:10" x14ac:dyDescent="0.2">
      <c r="A235" s="15"/>
      <c r="B235" s="17" t="s">
        <v>48</v>
      </c>
      <c r="C235" s="25"/>
      <c r="D235" s="25"/>
      <c r="E235" s="25"/>
      <c r="F235" s="25"/>
      <c r="G235" s="25"/>
      <c r="H235" s="25"/>
      <c r="I235" s="25"/>
    </row>
    <row r="236" spans="1:10" x14ac:dyDescent="0.2">
      <c r="B236" s="17" t="s">
        <v>49</v>
      </c>
      <c r="C236" s="25"/>
      <c r="D236" s="25"/>
      <c r="E236" s="25"/>
      <c r="F236" s="25"/>
      <c r="G236" s="25"/>
      <c r="H236" s="25"/>
      <c r="I236" s="25"/>
    </row>
    <row r="237" spans="1:10" x14ac:dyDescent="0.2">
      <c r="B237" s="17" t="s">
        <v>50</v>
      </c>
      <c r="C237" s="19">
        <f t="shared" ref="C237:I237" si="33">IF(AND(LEN(C234)&gt;0,C234&lt;&gt;0),GetDecimalTime(C234)-GetDecimalTime(C233),0)+IF(AND(LEN(C236)&gt;0,C236&lt;&gt;0),GetDecimalTime(C236)-GetDecimalTime(C235),0)</f>
        <v>0</v>
      </c>
      <c r="D237" s="19">
        <f t="shared" si="33"/>
        <v>0</v>
      </c>
      <c r="E237" s="19">
        <f t="shared" si="33"/>
        <v>0</v>
      </c>
      <c r="F237" s="19">
        <f t="shared" si="33"/>
        <v>0</v>
      </c>
      <c r="G237" s="19">
        <f t="shared" si="33"/>
        <v>0</v>
      </c>
      <c r="H237" s="19">
        <f t="shared" si="33"/>
        <v>0</v>
      </c>
      <c r="I237" s="19">
        <f t="shared" si="33"/>
        <v>0</v>
      </c>
      <c r="J237" s="20">
        <f>SUM(C237:I237)</f>
        <v>0</v>
      </c>
    </row>
    <row r="240" spans="1:10" x14ac:dyDescent="0.2">
      <c r="A240" s="15">
        <v>44067</v>
      </c>
      <c r="B240" s="17" t="s">
        <v>48</v>
      </c>
      <c r="C240" s="25"/>
      <c r="D240" s="25"/>
      <c r="E240" s="25"/>
      <c r="F240" s="25"/>
      <c r="G240" s="25"/>
      <c r="H240" s="25"/>
      <c r="I240" s="25"/>
    </row>
    <row r="241" spans="1:10" x14ac:dyDescent="0.2">
      <c r="A241" s="15"/>
      <c r="B241" s="17" t="s">
        <v>49</v>
      </c>
      <c r="C241" s="25"/>
      <c r="D241" s="25"/>
      <c r="E241" s="25"/>
      <c r="F241" s="25"/>
      <c r="G241" s="25"/>
      <c r="H241" s="25"/>
      <c r="I241" s="25"/>
    </row>
    <row r="242" spans="1:10" x14ac:dyDescent="0.2">
      <c r="A242" s="15"/>
      <c r="B242" s="17" t="s">
        <v>48</v>
      </c>
      <c r="C242" s="25"/>
      <c r="D242" s="25"/>
      <c r="E242" s="25"/>
      <c r="F242" s="25"/>
      <c r="G242" s="25"/>
      <c r="H242" s="25"/>
      <c r="I242" s="25"/>
    </row>
    <row r="243" spans="1:10" x14ac:dyDescent="0.2">
      <c r="B243" s="17" t="s">
        <v>49</v>
      </c>
      <c r="C243" s="25"/>
      <c r="D243" s="25"/>
      <c r="E243" s="25"/>
      <c r="F243" s="25"/>
      <c r="G243" s="25"/>
      <c r="H243" s="25"/>
      <c r="I243" s="25"/>
    </row>
    <row r="244" spans="1:10" x14ac:dyDescent="0.2">
      <c r="B244" s="17" t="s">
        <v>50</v>
      </c>
      <c r="C244" s="19">
        <f t="shared" ref="C244:I244" si="34">IF(AND(LEN(C241)&gt;0,C241&lt;&gt;0),GetDecimalTime(C241)-GetDecimalTime(C240),0)+IF(AND(LEN(C243)&gt;0,C243&lt;&gt;0),GetDecimalTime(C243)-GetDecimalTime(C242),0)</f>
        <v>0</v>
      </c>
      <c r="D244" s="19">
        <f t="shared" si="34"/>
        <v>0</v>
      </c>
      <c r="E244" s="19">
        <f t="shared" si="34"/>
        <v>0</v>
      </c>
      <c r="F244" s="19">
        <f t="shared" si="34"/>
        <v>0</v>
      </c>
      <c r="G244" s="19">
        <f t="shared" si="34"/>
        <v>0</v>
      </c>
      <c r="H244" s="19">
        <f t="shared" si="34"/>
        <v>0</v>
      </c>
      <c r="I244" s="19">
        <f t="shared" si="34"/>
        <v>0</v>
      </c>
      <c r="J244" s="20">
        <f>SUM(C244:I244)</f>
        <v>0</v>
      </c>
    </row>
    <row r="247" spans="1:10" x14ac:dyDescent="0.2">
      <c r="A247" s="15">
        <v>44074</v>
      </c>
      <c r="B247" s="17" t="s">
        <v>48</v>
      </c>
      <c r="C247" s="25"/>
      <c r="D247" s="25"/>
      <c r="E247" s="25"/>
      <c r="F247" s="25"/>
      <c r="G247" s="25"/>
      <c r="H247" s="25"/>
      <c r="I247" s="25"/>
    </row>
    <row r="248" spans="1:10" x14ac:dyDescent="0.2">
      <c r="A248" s="15"/>
      <c r="B248" s="17" t="s">
        <v>49</v>
      </c>
      <c r="C248" s="25"/>
      <c r="D248" s="25"/>
      <c r="E248" s="25"/>
      <c r="F248" s="25"/>
      <c r="G248" s="25"/>
      <c r="H248" s="25"/>
      <c r="I248" s="25"/>
    </row>
    <row r="249" spans="1:10" x14ac:dyDescent="0.2">
      <c r="A249" s="15"/>
      <c r="B249" s="17" t="s">
        <v>48</v>
      </c>
      <c r="C249" s="25"/>
      <c r="D249" s="25"/>
      <c r="E249" s="25"/>
      <c r="F249" s="25"/>
      <c r="G249" s="25"/>
      <c r="H249" s="25"/>
      <c r="I249" s="25"/>
    </row>
    <row r="250" spans="1:10" x14ac:dyDescent="0.2">
      <c r="B250" s="17" t="s">
        <v>49</v>
      </c>
      <c r="C250" s="25"/>
      <c r="D250" s="25"/>
      <c r="E250" s="25"/>
      <c r="F250" s="25"/>
      <c r="G250" s="25"/>
      <c r="H250" s="25"/>
      <c r="I250" s="25"/>
    </row>
    <row r="251" spans="1:10" x14ac:dyDescent="0.2">
      <c r="B251" s="17" t="s">
        <v>50</v>
      </c>
      <c r="C251" s="19">
        <f t="shared" ref="C251:I251" si="35">IF(AND(LEN(C248)&gt;0,C248&lt;&gt;0),GetDecimalTime(C248)-GetDecimalTime(C247),0)+IF(AND(LEN(C250)&gt;0,C250&lt;&gt;0),GetDecimalTime(C250)-GetDecimalTime(C249),0)</f>
        <v>0</v>
      </c>
      <c r="D251" s="19">
        <f t="shared" si="35"/>
        <v>0</v>
      </c>
      <c r="E251" s="19">
        <f t="shared" si="35"/>
        <v>0</v>
      </c>
      <c r="F251" s="19">
        <f t="shared" si="35"/>
        <v>0</v>
      </c>
      <c r="G251" s="19">
        <f t="shared" si="35"/>
        <v>0</v>
      </c>
      <c r="H251" s="19">
        <f t="shared" si="35"/>
        <v>0</v>
      </c>
      <c r="I251" s="19">
        <f t="shared" si="35"/>
        <v>0</v>
      </c>
      <c r="J251" s="20">
        <f>SUM(C251:I251)</f>
        <v>0</v>
      </c>
    </row>
    <row r="254" spans="1:10" x14ac:dyDescent="0.2">
      <c r="A254" s="15">
        <v>44081</v>
      </c>
      <c r="B254" s="17" t="s">
        <v>48</v>
      </c>
      <c r="C254" s="25"/>
      <c r="D254" s="25"/>
      <c r="E254" s="25"/>
      <c r="F254" s="25"/>
      <c r="G254" s="25"/>
      <c r="H254" s="25"/>
      <c r="I254" s="25"/>
    </row>
    <row r="255" spans="1:10" x14ac:dyDescent="0.2">
      <c r="A255" s="15"/>
      <c r="B255" s="17" t="s">
        <v>49</v>
      </c>
      <c r="C255" s="25"/>
      <c r="D255" s="25"/>
      <c r="E255" s="25"/>
      <c r="F255" s="25"/>
      <c r="G255" s="25"/>
      <c r="H255" s="25"/>
      <c r="I255" s="25"/>
    </row>
    <row r="256" spans="1:10" x14ac:dyDescent="0.2">
      <c r="A256" s="15"/>
      <c r="B256" s="17" t="s">
        <v>48</v>
      </c>
      <c r="C256" s="25"/>
      <c r="D256" s="25"/>
      <c r="E256" s="25"/>
      <c r="F256" s="25"/>
      <c r="G256" s="25"/>
      <c r="H256" s="25"/>
      <c r="I256" s="25"/>
    </row>
    <row r="257" spans="1:10" x14ac:dyDescent="0.2">
      <c r="B257" s="17" t="s">
        <v>49</v>
      </c>
      <c r="C257" s="25"/>
      <c r="D257" s="25"/>
      <c r="E257" s="25"/>
      <c r="F257" s="25"/>
      <c r="G257" s="25"/>
      <c r="H257" s="25"/>
      <c r="I257" s="25"/>
    </row>
    <row r="258" spans="1:10" x14ac:dyDescent="0.2">
      <c r="B258" s="17" t="s">
        <v>50</v>
      </c>
      <c r="C258" s="19">
        <f t="shared" ref="C258:I258" si="36">IF(AND(LEN(C255)&gt;0,C255&lt;&gt;0),GetDecimalTime(C255)-GetDecimalTime(C254),0)+IF(AND(LEN(C257)&gt;0,C257&lt;&gt;0),GetDecimalTime(C257)-GetDecimalTime(C256),0)</f>
        <v>0</v>
      </c>
      <c r="D258" s="19">
        <f t="shared" si="36"/>
        <v>0</v>
      </c>
      <c r="E258" s="19">
        <f t="shared" si="36"/>
        <v>0</v>
      </c>
      <c r="F258" s="19">
        <f t="shared" si="36"/>
        <v>0</v>
      </c>
      <c r="G258" s="19">
        <f t="shared" si="36"/>
        <v>0</v>
      </c>
      <c r="H258" s="19">
        <f t="shared" si="36"/>
        <v>0</v>
      </c>
      <c r="I258" s="19">
        <f t="shared" si="36"/>
        <v>0</v>
      </c>
      <c r="J258" s="20">
        <f>SUM(C258:I258)</f>
        <v>0</v>
      </c>
    </row>
    <row r="261" spans="1:10" x14ac:dyDescent="0.2">
      <c r="A261" s="15">
        <v>44088</v>
      </c>
      <c r="B261" s="17" t="s">
        <v>48</v>
      </c>
      <c r="C261" s="25"/>
      <c r="D261" s="25"/>
      <c r="E261" s="25"/>
      <c r="F261" s="25"/>
      <c r="G261" s="25"/>
      <c r="H261" s="25"/>
      <c r="I261" s="25"/>
    </row>
    <row r="262" spans="1:10" x14ac:dyDescent="0.2">
      <c r="A262" s="15"/>
      <c r="B262" s="17" t="s">
        <v>49</v>
      </c>
      <c r="C262" s="25"/>
      <c r="D262" s="25"/>
      <c r="E262" s="25"/>
      <c r="F262" s="25"/>
      <c r="G262" s="25"/>
      <c r="H262" s="25"/>
      <c r="I262" s="25"/>
    </row>
    <row r="263" spans="1:10" x14ac:dyDescent="0.2">
      <c r="A263" s="15"/>
      <c r="B263" s="17" t="s">
        <v>48</v>
      </c>
      <c r="C263" s="25"/>
      <c r="D263" s="25"/>
      <c r="E263" s="25"/>
      <c r="F263" s="25"/>
      <c r="G263" s="25"/>
      <c r="H263" s="25"/>
      <c r="I263" s="25"/>
    </row>
    <row r="264" spans="1:10" x14ac:dyDescent="0.2">
      <c r="B264" s="17" t="s">
        <v>49</v>
      </c>
      <c r="C264" s="25"/>
      <c r="D264" s="25"/>
      <c r="E264" s="25"/>
      <c r="F264" s="25"/>
      <c r="G264" s="25"/>
      <c r="H264" s="25"/>
      <c r="I264" s="25"/>
    </row>
    <row r="265" spans="1:10" x14ac:dyDescent="0.2">
      <c r="B265" s="17" t="s">
        <v>50</v>
      </c>
      <c r="C265" s="19">
        <f t="shared" ref="C265:I265" si="37">IF(AND(LEN(C262)&gt;0,C262&lt;&gt;0),GetDecimalTime(C262)-GetDecimalTime(C261),0)+IF(AND(LEN(C264)&gt;0,C264&lt;&gt;0),GetDecimalTime(C264)-GetDecimalTime(C263),0)</f>
        <v>0</v>
      </c>
      <c r="D265" s="19">
        <f t="shared" si="37"/>
        <v>0</v>
      </c>
      <c r="E265" s="19">
        <f t="shared" si="37"/>
        <v>0</v>
      </c>
      <c r="F265" s="19">
        <f t="shared" si="37"/>
        <v>0</v>
      </c>
      <c r="G265" s="19">
        <f t="shared" si="37"/>
        <v>0</v>
      </c>
      <c r="H265" s="19">
        <f t="shared" si="37"/>
        <v>0</v>
      </c>
      <c r="I265" s="19">
        <f t="shared" si="37"/>
        <v>0</v>
      </c>
      <c r="J265" s="20">
        <f>SUM(C265:I265)</f>
        <v>0</v>
      </c>
    </row>
    <row r="268" spans="1:10" x14ac:dyDescent="0.2">
      <c r="A268" s="15">
        <v>44095</v>
      </c>
      <c r="B268" s="17" t="s">
        <v>48</v>
      </c>
      <c r="C268" s="25"/>
      <c r="D268" s="25"/>
      <c r="E268" s="25"/>
      <c r="F268" s="25"/>
      <c r="G268" s="25"/>
      <c r="H268" s="25"/>
      <c r="I268" s="25"/>
    </row>
    <row r="269" spans="1:10" x14ac:dyDescent="0.2">
      <c r="A269" s="15"/>
      <c r="B269" s="17" t="s">
        <v>49</v>
      </c>
      <c r="C269" s="25"/>
      <c r="D269" s="25"/>
      <c r="E269" s="25"/>
      <c r="F269" s="25"/>
      <c r="G269" s="25"/>
      <c r="H269" s="25"/>
      <c r="I269" s="25"/>
    </row>
    <row r="270" spans="1:10" x14ac:dyDescent="0.2">
      <c r="A270" s="15"/>
      <c r="B270" s="17" t="s">
        <v>48</v>
      </c>
      <c r="C270" s="25"/>
      <c r="D270" s="25"/>
      <c r="E270" s="25"/>
      <c r="F270" s="25"/>
      <c r="G270" s="25"/>
      <c r="H270" s="25"/>
      <c r="I270" s="25"/>
    </row>
    <row r="271" spans="1:10" x14ac:dyDescent="0.2">
      <c r="B271" s="17" t="s">
        <v>49</v>
      </c>
      <c r="C271" s="25"/>
      <c r="D271" s="25"/>
      <c r="E271" s="25"/>
      <c r="F271" s="25"/>
      <c r="G271" s="25"/>
      <c r="H271" s="25"/>
      <c r="I271" s="25"/>
    </row>
    <row r="272" spans="1:10" x14ac:dyDescent="0.2">
      <c r="B272" s="17" t="s">
        <v>50</v>
      </c>
      <c r="C272" s="19">
        <f t="shared" ref="C272:I272" si="38">IF(AND(LEN(C269)&gt;0,C269&lt;&gt;0),GetDecimalTime(C269)-GetDecimalTime(C268),0)+IF(AND(LEN(C271)&gt;0,C271&lt;&gt;0),GetDecimalTime(C271)-GetDecimalTime(C270),0)</f>
        <v>0</v>
      </c>
      <c r="D272" s="19">
        <f t="shared" si="38"/>
        <v>0</v>
      </c>
      <c r="E272" s="19">
        <f t="shared" si="38"/>
        <v>0</v>
      </c>
      <c r="F272" s="19">
        <f t="shared" si="38"/>
        <v>0</v>
      </c>
      <c r="G272" s="19">
        <f t="shared" si="38"/>
        <v>0</v>
      </c>
      <c r="H272" s="19">
        <f t="shared" si="38"/>
        <v>0</v>
      </c>
      <c r="I272" s="19">
        <f t="shared" si="38"/>
        <v>0</v>
      </c>
      <c r="J272" s="20">
        <f>SUM(C272:I272)</f>
        <v>0</v>
      </c>
    </row>
    <row r="275" spans="1:10" x14ac:dyDescent="0.2">
      <c r="A275" s="15">
        <v>44102</v>
      </c>
      <c r="B275" s="17" t="s">
        <v>48</v>
      </c>
      <c r="C275" s="25"/>
      <c r="D275" s="25"/>
      <c r="E275" s="25"/>
      <c r="F275" s="25"/>
      <c r="G275" s="25"/>
      <c r="H275" s="25"/>
      <c r="I275" s="25"/>
    </row>
    <row r="276" spans="1:10" x14ac:dyDescent="0.2">
      <c r="A276" s="15"/>
      <c r="B276" s="17" t="s">
        <v>49</v>
      </c>
      <c r="C276" s="25"/>
      <c r="D276" s="25"/>
      <c r="E276" s="25"/>
      <c r="F276" s="25"/>
      <c r="G276" s="25"/>
      <c r="H276" s="25"/>
      <c r="I276" s="25"/>
    </row>
    <row r="277" spans="1:10" x14ac:dyDescent="0.2">
      <c r="A277" s="15"/>
      <c r="B277" s="17" t="s">
        <v>48</v>
      </c>
      <c r="C277" s="25"/>
      <c r="D277" s="25"/>
      <c r="E277" s="25"/>
      <c r="F277" s="25"/>
      <c r="G277" s="25"/>
      <c r="H277" s="25"/>
      <c r="I277" s="25"/>
    </row>
    <row r="278" spans="1:10" x14ac:dyDescent="0.2">
      <c r="B278" s="17" t="s">
        <v>49</v>
      </c>
      <c r="C278" s="25"/>
      <c r="D278" s="25"/>
      <c r="E278" s="25"/>
      <c r="F278" s="25"/>
      <c r="G278" s="25"/>
      <c r="H278" s="25"/>
      <c r="I278" s="25"/>
    </row>
    <row r="279" spans="1:10" x14ac:dyDescent="0.2">
      <c r="B279" s="17" t="s">
        <v>50</v>
      </c>
      <c r="C279" s="19">
        <f t="shared" ref="C279:I279" si="39">IF(AND(LEN(C276)&gt;0,C276&lt;&gt;0),GetDecimalTime(C276)-GetDecimalTime(C275),0)+IF(AND(LEN(C278)&gt;0,C278&lt;&gt;0),GetDecimalTime(C278)-GetDecimalTime(C277),0)</f>
        <v>0</v>
      </c>
      <c r="D279" s="19">
        <f t="shared" si="39"/>
        <v>0</v>
      </c>
      <c r="E279" s="19">
        <f t="shared" si="39"/>
        <v>0</v>
      </c>
      <c r="F279" s="19">
        <f t="shared" si="39"/>
        <v>0</v>
      </c>
      <c r="G279" s="19">
        <f t="shared" si="39"/>
        <v>0</v>
      </c>
      <c r="H279" s="19">
        <f t="shared" si="39"/>
        <v>0</v>
      </c>
      <c r="I279" s="19">
        <f t="shared" si="39"/>
        <v>0</v>
      </c>
      <c r="J279" s="20">
        <f>SUM(C279:I279)</f>
        <v>0</v>
      </c>
    </row>
    <row r="282" spans="1:10" x14ac:dyDescent="0.2">
      <c r="A282" s="15">
        <v>44109</v>
      </c>
      <c r="B282" s="17" t="s">
        <v>48</v>
      </c>
      <c r="C282" s="25"/>
      <c r="D282" s="25"/>
      <c r="E282" s="25"/>
      <c r="F282" s="25"/>
      <c r="G282" s="25"/>
      <c r="H282" s="25"/>
      <c r="I282" s="25"/>
    </row>
    <row r="283" spans="1:10" x14ac:dyDescent="0.2">
      <c r="A283" s="15"/>
      <c r="B283" s="17" t="s">
        <v>49</v>
      </c>
      <c r="C283" s="25"/>
      <c r="D283" s="25"/>
      <c r="E283" s="25"/>
      <c r="F283" s="25"/>
      <c r="G283" s="25"/>
      <c r="H283" s="25"/>
      <c r="I283" s="25"/>
    </row>
    <row r="284" spans="1:10" x14ac:dyDescent="0.2">
      <c r="A284" s="15"/>
      <c r="B284" s="17" t="s">
        <v>48</v>
      </c>
      <c r="C284" s="25"/>
      <c r="D284" s="25"/>
      <c r="E284" s="25"/>
      <c r="F284" s="25"/>
      <c r="G284" s="25"/>
      <c r="H284" s="25"/>
      <c r="I284" s="25"/>
    </row>
    <row r="285" spans="1:10" x14ac:dyDescent="0.2">
      <c r="B285" s="17" t="s">
        <v>49</v>
      </c>
      <c r="C285" s="25"/>
      <c r="D285" s="25"/>
      <c r="E285" s="25"/>
      <c r="F285" s="25"/>
      <c r="G285" s="25"/>
      <c r="H285" s="25"/>
      <c r="I285" s="25"/>
    </row>
    <row r="286" spans="1:10" x14ac:dyDescent="0.2">
      <c r="B286" s="17" t="s">
        <v>50</v>
      </c>
      <c r="C286" s="19">
        <f t="shared" ref="C286:I286" si="40">IF(AND(LEN(C283)&gt;0,C283&lt;&gt;0),GetDecimalTime(C283)-GetDecimalTime(C282),0)+IF(AND(LEN(C285)&gt;0,C285&lt;&gt;0),GetDecimalTime(C285)-GetDecimalTime(C284),0)</f>
        <v>0</v>
      </c>
      <c r="D286" s="19">
        <f t="shared" si="40"/>
        <v>0</v>
      </c>
      <c r="E286" s="19">
        <f t="shared" si="40"/>
        <v>0</v>
      </c>
      <c r="F286" s="19">
        <f t="shared" si="40"/>
        <v>0</v>
      </c>
      <c r="G286" s="19">
        <f t="shared" si="40"/>
        <v>0</v>
      </c>
      <c r="H286" s="19">
        <f t="shared" si="40"/>
        <v>0</v>
      </c>
      <c r="I286" s="19">
        <f t="shared" si="40"/>
        <v>0</v>
      </c>
      <c r="J286" s="20">
        <f>SUM(C286:I286)</f>
        <v>0</v>
      </c>
    </row>
    <row r="289" spans="1:10" x14ac:dyDescent="0.2">
      <c r="A289" s="15">
        <v>44116</v>
      </c>
      <c r="B289" s="17" t="s">
        <v>48</v>
      </c>
      <c r="C289" s="25"/>
      <c r="D289" s="25"/>
      <c r="E289" s="25"/>
      <c r="F289" s="25"/>
      <c r="G289" s="25"/>
      <c r="H289" s="25"/>
      <c r="I289" s="25"/>
    </row>
    <row r="290" spans="1:10" x14ac:dyDescent="0.2">
      <c r="A290" s="15"/>
      <c r="B290" s="17" t="s">
        <v>49</v>
      </c>
      <c r="C290" s="25"/>
      <c r="D290" s="25"/>
      <c r="E290" s="25"/>
      <c r="F290" s="25"/>
      <c r="G290" s="25"/>
      <c r="H290" s="25"/>
      <c r="I290" s="25"/>
    </row>
    <row r="291" spans="1:10" x14ac:dyDescent="0.2">
      <c r="A291" s="15"/>
      <c r="B291" s="17" t="s">
        <v>48</v>
      </c>
      <c r="C291" s="25"/>
      <c r="D291" s="25"/>
      <c r="E291" s="25"/>
      <c r="F291" s="25"/>
      <c r="G291" s="25"/>
      <c r="H291" s="25"/>
      <c r="I291" s="25"/>
    </row>
    <row r="292" spans="1:10" x14ac:dyDescent="0.2">
      <c r="B292" s="17" t="s">
        <v>49</v>
      </c>
      <c r="C292" s="25"/>
      <c r="D292" s="25"/>
      <c r="E292" s="25"/>
      <c r="F292" s="25"/>
      <c r="G292" s="25"/>
      <c r="H292" s="25"/>
      <c r="I292" s="25"/>
    </row>
    <row r="293" spans="1:10" x14ac:dyDescent="0.2">
      <c r="B293" s="17" t="s">
        <v>50</v>
      </c>
      <c r="C293" s="19">
        <f t="shared" ref="C293:I293" si="41">IF(AND(LEN(C290)&gt;0,C290&lt;&gt;0),GetDecimalTime(C290)-GetDecimalTime(C289),0)+IF(AND(LEN(C292)&gt;0,C292&lt;&gt;0),GetDecimalTime(C292)-GetDecimalTime(C291),0)</f>
        <v>0</v>
      </c>
      <c r="D293" s="19">
        <f t="shared" si="41"/>
        <v>0</v>
      </c>
      <c r="E293" s="19">
        <f t="shared" si="41"/>
        <v>0</v>
      </c>
      <c r="F293" s="19">
        <f t="shared" si="41"/>
        <v>0</v>
      </c>
      <c r="G293" s="19">
        <f t="shared" si="41"/>
        <v>0</v>
      </c>
      <c r="H293" s="19">
        <f t="shared" si="41"/>
        <v>0</v>
      </c>
      <c r="I293" s="19">
        <f t="shared" si="41"/>
        <v>0</v>
      </c>
      <c r="J293" s="20">
        <f>SUM(C293:I293)</f>
        <v>0</v>
      </c>
    </row>
    <row r="296" spans="1:10" x14ac:dyDescent="0.2">
      <c r="A296" s="15">
        <v>44123</v>
      </c>
      <c r="B296" s="17" t="s">
        <v>48</v>
      </c>
      <c r="C296" s="25"/>
      <c r="D296" s="25"/>
      <c r="E296" s="25"/>
      <c r="F296" s="25"/>
      <c r="G296" s="25"/>
      <c r="H296" s="25"/>
      <c r="I296" s="25"/>
    </row>
    <row r="297" spans="1:10" x14ac:dyDescent="0.2">
      <c r="A297" s="15"/>
      <c r="B297" s="17" t="s">
        <v>49</v>
      </c>
      <c r="C297" s="25"/>
      <c r="D297" s="25"/>
      <c r="E297" s="25"/>
      <c r="F297" s="25"/>
      <c r="G297" s="25"/>
      <c r="H297" s="25"/>
      <c r="I297" s="25"/>
    </row>
    <row r="298" spans="1:10" x14ac:dyDescent="0.2">
      <c r="A298" s="15"/>
      <c r="B298" s="17" t="s">
        <v>48</v>
      </c>
      <c r="C298" s="25"/>
      <c r="D298" s="25"/>
      <c r="E298" s="25"/>
      <c r="F298" s="25"/>
      <c r="G298" s="25"/>
      <c r="H298" s="25"/>
      <c r="I298" s="25"/>
    </row>
    <row r="299" spans="1:10" x14ac:dyDescent="0.2">
      <c r="B299" s="17" t="s">
        <v>49</v>
      </c>
      <c r="C299" s="25"/>
      <c r="D299" s="25"/>
      <c r="E299" s="25"/>
      <c r="F299" s="25"/>
      <c r="G299" s="25"/>
      <c r="H299" s="25"/>
      <c r="I299" s="25"/>
    </row>
    <row r="300" spans="1:10" x14ac:dyDescent="0.2">
      <c r="B300" s="17" t="s">
        <v>50</v>
      </c>
      <c r="C300" s="19">
        <f t="shared" ref="C300:I300" si="42">IF(AND(LEN(C297)&gt;0,C297&lt;&gt;0),GetDecimalTime(C297)-GetDecimalTime(C296),0)+IF(AND(LEN(C299)&gt;0,C299&lt;&gt;0),GetDecimalTime(C299)-GetDecimalTime(C298),0)</f>
        <v>0</v>
      </c>
      <c r="D300" s="19">
        <f t="shared" si="42"/>
        <v>0</v>
      </c>
      <c r="E300" s="19">
        <f t="shared" si="42"/>
        <v>0</v>
      </c>
      <c r="F300" s="19">
        <f t="shared" si="42"/>
        <v>0</v>
      </c>
      <c r="G300" s="19">
        <f t="shared" si="42"/>
        <v>0</v>
      </c>
      <c r="H300" s="19">
        <f t="shared" si="42"/>
        <v>0</v>
      </c>
      <c r="I300" s="19">
        <f t="shared" si="42"/>
        <v>0</v>
      </c>
      <c r="J300" s="20">
        <f>SUM(C300:I300)</f>
        <v>0</v>
      </c>
    </row>
    <row r="303" spans="1:10" x14ac:dyDescent="0.2">
      <c r="A303" s="15">
        <v>44130</v>
      </c>
      <c r="B303" s="17" t="s">
        <v>48</v>
      </c>
      <c r="C303" s="25"/>
      <c r="D303" s="25"/>
      <c r="E303" s="25"/>
      <c r="F303" s="25"/>
      <c r="G303" s="25"/>
      <c r="H303" s="25"/>
      <c r="I303" s="25"/>
    </row>
    <row r="304" spans="1:10" x14ac:dyDescent="0.2">
      <c r="A304" s="15"/>
      <c r="B304" s="17" t="s">
        <v>49</v>
      </c>
      <c r="C304" s="25"/>
      <c r="D304" s="25"/>
      <c r="E304" s="25"/>
      <c r="F304" s="25"/>
      <c r="G304" s="25"/>
      <c r="H304" s="25"/>
      <c r="I304" s="25"/>
    </row>
    <row r="305" spans="1:10" x14ac:dyDescent="0.2">
      <c r="A305" s="15"/>
      <c r="B305" s="17" t="s">
        <v>48</v>
      </c>
      <c r="C305" s="25"/>
      <c r="D305" s="25"/>
      <c r="E305" s="25"/>
      <c r="F305" s="25"/>
      <c r="G305" s="25"/>
      <c r="H305" s="25"/>
      <c r="I305" s="25"/>
    </row>
    <row r="306" spans="1:10" x14ac:dyDescent="0.2">
      <c r="B306" s="17" t="s">
        <v>49</v>
      </c>
      <c r="C306" s="25"/>
      <c r="D306" s="25"/>
      <c r="E306" s="25"/>
      <c r="F306" s="25"/>
      <c r="G306" s="25"/>
      <c r="H306" s="25"/>
      <c r="I306" s="25"/>
    </row>
    <row r="307" spans="1:10" x14ac:dyDescent="0.2">
      <c r="B307" s="17" t="s">
        <v>50</v>
      </c>
      <c r="C307" s="19">
        <f t="shared" ref="C307:I307" si="43">IF(AND(LEN(C304)&gt;0,C304&lt;&gt;0),GetDecimalTime(C304)-GetDecimalTime(C303),0)+IF(AND(LEN(C306)&gt;0,C306&lt;&gt;0),GetDecimalTime(C306)-GetDecimalTime(C305),0)</f>
        <v>0</v>
      </c>
      <c r="D307" s="19">
        <f t="shared" si="43"/>
        <v>0</v>
      </c>
      <c r="E307" s="19">
        <f t="shared" si="43"/>
        <v>0</v>
      </c>
      <c r="F307" s="19">
        <f t="shared" si="43"/>
        <v>0</v>
      </c>
      <c r="G307" s="19">
        <f t="shared" si="43"/>
        <v>0</v>
      </c>
      <c r="H307" s="19">
        <f t="shared" si="43"/>
        <v>0</v>
      </c>
      <c r="I307" s="19">
        <f t="shared" si="43"/>
        <v>0</v>
      </c>
      <c r="J307" s="20">
        <f>SUM(C307:I307)</f>
        <v>0</v>
      </c>
    </row>
    <row r="310" spans="1:10" x14ac:dyDescent="0.2">
      <c r="A310" s="15">
        <v>44137</v>
      </c>
      <c r="B310" s="17" t="s">
        <v>48</v>
      </c>
      <c r="C310" s="25"/>
      <c r="D310" s="25"/>
      <c r="E310" s="25"/>
      <c r="F310" s="25"/>
      <c r="G310" s="25"/>
      <c r="H310" s="25"/>
      <c r="I310" s="25"/>
    </row>
    <row r="311" spans="1:10" x14ac:dyDescent="0.2">
      <c r="A311" s="15"/>
      <c r="B311" s="17" t="s">
        <v>49</v>
      </c>
      <c r="C311" s="25"/>
      <c r="D311" s="25"/>
      <c r="E311" s="25"/>
      <c r="F311" s="25"/>
      <c r="G311" s="25"/>
      <c r="H311" s="25"/>
      <c r="I311" s="25"/>
    </row>
    <row r="312" spans="1:10" x14ac:dyDescent="0.2">
      <c r="A312" s="15"/>
      <c r="B312" s="17" t="s">
        <v>48</v>
      </c>
      <c r="C312" s="25"/>
      <c r="D312" s="25"/>
      <c r="E312" s="25"/>
      <c r="F312" s="25"/>
      <c r="G312" s="25"/>
      <c r="H312" s="25"/>
      <c r="I312" s="25"/>
    </row>
    <row r="313" spans="1:10" x14ac:dyDescent="0.2">
      <c r="B313" s="17" t="s">
        <v>49</v>
      </c>
      <c r="C313" s="25"/>
      <c r="D313" s="25"/>
      <c r="E313" s="25"/>
      <c r="F313" s="25"/>
      <c r="G313" s="25"/>
      <c r="H313" s="25"/>
      <c r="I313" s="25"/>
    </row>
    <row r="314" spans="1:10" x14ac:dyDescent="0.2">
      <c r="B314" s="17" t="s">
        <v>50</v>
      </c>
      <c r="C314" s="19">
        <f t="shared" ref="C314:I314" si="44">IF(AND(LEN(C311)&gt;0,C311&lt;&gt;0),GetDecimalTime(C311)-GetDecimalTime(C310),0)+IF(AND(LEN(C313)&gt;0,C313&lt;&gt;0),GetDecimalTime(C313)-GetDecimalTime(C312),0)</f>
        <v>0</v>
      </c>
      <c r="D314" s="19">
        <f t="shared" si="44"/>
        <v>0</v>
      </c>
      <c r="E314" s="19">
        <f t="shared" si="44"/>
        <v>0</v>
      </c>
      <c r="F314" s="19">
        <f t="shared" si="44"/>
        <v>0</v>
      </c>
      <c r="G314" s="19">
        <f t="shared" si="44"/>
        <v>0</v>
      </c>
      <c r="H314" s="19">
        <f t="shared" si="44"/>
        <v>0</v>
      </c>
      <c r="I314" s="19">
        <f t="shared" si="44"/>
        <v>0</v>
      </c>
      <c r="J314" s="20">
        <f>SUM(C314:I314)</f>
        <v>0</v>
      </c>
    </row>
    <row r="317" spans="1:10" x14ac:dyDescent="0.2">
      <c r="A317" s="15">
        <v>44144</v>
      </c>
      <c r="B317" s="17" t="s">
        <v>48</v>
      </c>
      <c r="C317" s="25"/>
      <c r="D317" s="25"/>
      <c r="E317" s="25"/>
      <c r="F317" s="25"/>
      <c r="G317" s="25"/>
      <c r="H317" s="25"/>
      <c r="I317" s="25"/>
    </row>
    <row r="318" spans="1:10" x14ac:dyDescent="0.2">
      <c r="A318" s="15"/>
      <c r="B318" s="17" t="s">
        <v>49</v>
      </c>
      <c r="C318" s="25"/>
      <c r="D318" s="25"/>
      <c r="E318" s="25"/>
      <c r="F318" s="25"/>
      <c r="G318" s="25"/>
      <c r="H318" s="25"/>
      <c r="I318" s="25"/>
    </row>
    <row r="319" spans="1:10" x14ac:dyDescent="0.2">
      <c r="A319" s="15"/>
      <c r="B319" s="17" t="s">
        <v>48</v>
      </c>
      <c r="C319" s="25"/>
      <c r="D319" s="25"/>
      <c r="E319" s="25"/>
      <c r="F319" s="25"/>
      <c r="G319" s="25"/>
      <c r="H319" s="25"/>
      <c r="I319" s="25"/>
    </row>
    <row r="320" spans="1:10" x14ac:dyDescent="0.2">
      <c r="B320" s="17" t="s">
        <v>49</v>
      </c>
      <c r="C320" s="25"/>
      <c r="D320" s="25"/>
      <c r="E320" s="25"/>
      <c r="F320" s="25"/>
      <c r="G320" s="25"/>
      <c r="H320" s="25"/>
      <c r="I320" s="25"/>
    </row>
    <row r="321" spans="1:10" x14ac:dyDescent="0.2">
      <c r="B321" s="17" t="s">
        <v>50</v>
      </c>
      <c r="C321" s="19">
        <f t="shared" ref="C321:I321" si="45">IF(AND(LEN(C318)&gt;0,C318&lt;&gt;0),GetDecimalTime(C318)-GetDecimalTime(C317),0)+IF(AND(LEN(C320)&gt;0,C320&lt;&gt;0),GetDecimalTime(C320)-GetDecimalTime(C319),0)</f>
        <v>0</v>
      </c>
      <c r="D321" s="19">
        <f t="shared" si="45"/>
        <v>0</v>
      </c>
      <c r="E321" s="19">
        <f t="shared" si="45"/>
        <v>0</v>
      </c>
      <c r="F321" s="19">
        <f t="shared" si="45"/>
        <v>0</v>
      </c>
      <c r="G321" s="19">
        <f t="shared" si="45"/>
        <v>0</v>
      </c>
      <c r="H321" s="19">
        <f t="shared" si="45"/>
        <v>0</v>
      </c>
      <c r="I321" s="19">
        <f t="shared" si="45"/>
        <v>0</v>
      </c>
      <c r="J321" s="20">
        <f>SUM(C321:I321)</f>
        <v>0</v>
      </c>
    </row>
    <row r="324" spans="1:10" x14ac:dyDescent="0.2">
      <c r="A324" s="15">
        <v>44151</v>
      </c>
      <c r="B324" s="17" t="s">
        <v>48</v>
      </c>
      <c r="C324" s="25"/>
      <c r="D324" s="25"/>
      <c r="E324" s="25"/>
      <c r="F324" s="25"/>
      <c r="G324" s="25"/>
      <c r="H324" s="25"/>
      <c r="I324" s="25"/>
    </row>
    <row r="325" spans="1:10" x14ac:dyDescent="0.2">
      <c r="A325" s="15"/>
      <c r="B325" s="17" t="s">
        <v>49</v>
      </c>
      <c r="C325" s="25"/>
      <c r="D325" s="25"/>
      <c r="E325" s="25"/>
      <c r="F325" s="25"/>
      <c r="G325" s="25"/>
      <c r="H325" s="25"/>
      <c r="I325" s="25"/>
    </row>
    <row r="326" spans="1:10" x14ac:dyDescent="0.2">
      <c r="A326" s="15"/>
      <c r="B326" s="17" t="s">
        <v>48</v>
      </c>
      <c r="C326" s="25"/>
      <c r="D326" s="25"/>
      <c r="E326" s="25"/>
      <c r="F326" s="25"/>
      <c r="G326" s="25"/>
      <c r="H326" s="25"/>
      <c r="I326" s="25"/>
    </row>
    <row r="327" spans="1:10" x14ac:dyDescent="0.2">
      <c r="B327" s="17" t="s">
        <v>49</v>
      </c>
      <c r="C327" s="25"/>
      <c r="D327" s="25"/>
      <c r="E327" s="25"/>
      <c r="F327" s="25"/>
      <c r="G327" s="25"/>
      <c r="H327" s="25"/>
      <c r="I327" s="25"/>
    </row>
    <row r="328" spans="1:10" x14ac:dyDescent="0.2">
      <c r="B328" s="17" t="s">
        <v>50</v>
      </c>
      <c r="C328" s="19">
        <f t="shared" ref="C328:I328" si="46">IF(AND(LEN(C325)&gt;0,C325&lt;&gt;0),GetDecimalTime(C325)-GetDecimalTime(C324),0)+IF(AND(LEN(C327)&gt;0,C327&lt;&gt;0),GetDecimalTime(C327)-GetDecimalTime(C326),0)</f>
        <v>0</v>
      </c>
      <c r="D328" s="19">
        <f t="shared" si="46"/>
        <v>0</v>
      </c>
      <c r="E328" s="19">
        <f t="shared" si="46"/>
        <v>0</v>
      </c>
      <c r="F328" s="19">
        <f t="shared" si="46"/>
        <v>0</v>
      </c>
      <c r="G328" s="19">
        <f t="shared" si="46"/>
        <v>0</v>
      </c>
      <c r="H328" s="19">
        <f t="shared" si="46"/>
        <v>0</v>
      </c>
      <c r="I328" s="19">
        <f t="shared" si="46"/>
        <v>0</v>
      </c>
      <c r="J328" s="20">
        <f>SUM(C328:I328)</f>
        <v>0</v>
      </c>
    </row>
    <row r="331" spans="1:10" x14ac:dyDescent="0.2">
      <c r="A331" s="15">
        <v>44158</v>
      </c>
      <c r="B331" s="17" t="s">
        <v>48</v>
      </c>
      <c r="C331" s="25"/>
      <c r="D331" s="25"/>
      <c r="E331" s="25"/>
      <c r="F331" s="25"/>
      <c r="G331" s="25"/>
      <c r="H331" s="25"/>
      <c r="I331" s="25"/>
    </row>
    <row r="332" spans="1:10" x14ac:dyDescent="0.2">
      <c r="A332" s="15"/>
      <c r="B332" s="17" t="s">
        <v>49</v>
      </c>
      <c r="C332" s="25"/>
      <c r="D332" s="25"/>
      <c r="E332" s="25"/>
      <c r="F332" s="25"/>
      <c r="G332" s="25"/>
      <c r="H332" s="25"/>
      <c r="I332" s="25"/>
    </row>
    <row r="333" spans="1:10" x14ac:dyDescent="0.2">
      <c r="A333" s="15"/>
      <c r="B333" s="17" t="s">
        <v>48</v>
      </c>
      <c r="C333" s="25"/>
      <c r="D333" s="25"/>
      <c r="E333" s="25"/>
      <c r="F333" s="25"/>
      <c r="G333" s="25"/>
      <c r="H333" s="25"/>
      <c r="I333" s="25"/>
    </row>
    <row r="334" spans="1:10" x14ac:dyDescent="0.2">
      <c r="B334" s="17" t="s">
        <v>49</v>
      </c>
      <c r="C334" s="25"/>
      <c r="D334" s="25"/>
      <c r="E334" s="25"/>
      <c r="F334" s="25"/>
      <c r="G334" s="25"/>
      <c r="H334" s="25"/>
      <c r="I334" s="25"/>
    </row>
    <row r="335" spans="1:10" x14ac:dyDescent="0.2">
      <c r="B335" s="17" t="s">
        <v>50</v>
      </c>
      <c r="C335" s="19">
        <f t="shared" ref="C335:I335" si="47">IF(AND(LEN(C332)&gt;0,C332&lt;&gt;0),GetDecimalTime(C332)-GetDecimalTime(C331),0)+IF(AND(LEN(C334)&gt;0,C334&lt;&gt;0),GetDecimalTime(C334)-GetDecimalTime(C333),0)</f>
        <v>0</v>
      </c>
      <c r="D335" s="19">
        <f t="shared" si="47"/>
        <v>0</v>
      </c>
      <c r="E335" s="19">
        <f t="shared" si="47"/>
        <v>0</v>
      </c>
      <c r="F335" s="19">
        <f t="shared" si="47"/>
        <v>0</v>
      </c>
      <c r="G335" s="19">
        <f t="shared" si="47"/>
        <v>0</v>
      </c>
      <c r="H335" s="19">
        <f t="shared" si="47"/>
        <v>0</v>
      </c>
      <c r="I335" s="19">
        <f t="shared" si="47"/>
        <v>0</v>
      </c>
      <c r="J335" s="20">
        <f>SUM(C335:I335)</f>
        <v>0</v>
      </c>
    </row>
    <row r="338" spans="1:10" x14ac:dyDescent="0.2">
      <c r="A338" s="15">
        <v>44165</v>
      </c>
      <c r="B338" s="17" t="s">
        <v>48</v>
      </c>
      <c r="C338" s="25"/>
      <c r="D338" s="25"/>
      <c r="E338" s="25"/>
      <c r="F338" s="25"/>
      <c r="G338" s="25"/>
      <c r="H338" s="25"/>
      <c r="I338" s="25"/>
    </row>
    <row r="339" spans="1:10" x14ac:dyDescent="0.2">
      <c r="A339" s="15"/>
      <c r="B339" s="17" t="s">
        <v>49</v>
      </c>
      <c r="C339" s="25"/>
      <c r="D339" s="25"/>
      <c r="E339" s="25"/>
      <c r="F339" s="25"/>
      <c r="G339" s="25"/>
      <c r="H339" s="25"/>
      <c r="I339" s="25"/>
    </row>
    <row r="340" spans="1:10" x14ac:dyDescent="0.2">
      <c r="A340" s="15"/>
      <c r="B340" s="17" t="s">
        <v>48</v>
      </c>
      <c r="C340" s="25"/>
      <c r="D340" s="25"/>
      <c r="E340" s="25"/>
      <c r="F340" s="25"/>
      <c r="G340" s="25"/>
      <c r="H340" s="25"/>
      <c r="I340" s="25"/>
    </row>
    <row r="341" spans="1:10" x14ac:dyDescent="0.2">
      <c r="B341" s="17" t="s">
        <v>49</v>
      </c>
      <c r="C341" s="25"/>
      <c r="D341" s="25"/>
      <c r="E341" s="25"/>
      <c r="F341" s="25"/>
      <c r="G341" s="25"/>
      <c r="H341" s="25"/>
      <c r="I341" s="25"/>
    </row>
    <row r="342" spans="1:10" x14ac:dyDescent="0.2">
      <c r="B342" s="17" t="s">
        <v>50</v>
      </c>
      <c r="C342" s="19">
        <f t="shared" ref="C342:I342" si="48">IF(AND(LEN(C339)&gt;0,C339&lt;&gt;0),GetDecimalTime(C339)-GetDecimalTime(C338),0)+IF(AND(LEN(C341)&gt;0,C341&lt;&gt;0),GetDecimalTime(C341)-GetDecimalTime(C340),0)</f>
        <v>0</v>
      </c>
      <c r="D342" s="19">
        <f t="shared" si="48"/>
        <v>0</v>
      </c>
      <c r="E342" s="19">
        <f t="shared" si="48"/>
        <v>0</v>
      </c>
      <c r="F342" s="19">
        <f t="shared" si="48"/>
        <v>0</v>
      </c>
      <c r="G342" s="19">
        <f t="shared" si="48"/>
        <v>0</v>
      </c>
      <c r="H342" s="19">
        <f t="shared" si="48"/>
        <v>0</v>
      </c>
      <c r="I342" s="19">
        <f t="shared" si="48"/>
        <v>0</v>
      </c>
      <c r="J342" s="20">
        <f>SUM(C342:I342)</f>
        <v>0</v>
      </c>
    </row>
    <row r="345" spans="1:10" x14ac:dyDescent="0.2">
      <c r="A345" s="15">
        <v>44172</v>
      </c>
      <c r="B345" s="17" t="s">
        <v>48</v>
      </c>
      <c r="C345" s="25"/>
      <c r="D345" s="25"/>
      <c r="E345" s="25"/>
      <c r="F345" s="25"/>
      <c r="G345" s="25"/>
      <c r="H345" s="25"/>
      <c r="I345" s="25"/>
    </row>
    <row r="346" spans="1:10" x14ac:dyDescent="0.2">
      <c r="A346" s="15"/>
      <c r="B346" s="17" t="s">
        <v>49</v>
      </c>
      <c r="C346" s="25"/>
      <c r="D346" s="25"/>
      <c r="E346" s="25"/>
      <c r="F346" s="25"/>
      <c r="G346" s="25"/>
      <c r="H346" s="25"/>
      <c r="I346" s="25"/>
    </row>
    <row r="347" spans="1:10" x14ac:dyDescent="0.2">
      <c r="A347" s="15"/>
      <c r="B347" s="17" t="s">
        <v>48</v>
      </c>
      <c r="C347" s="25"/>
      <c r="D347" s="25"/>
      <c r="E347" s="25"/>
      <c r="F347" s="25"/>
      <c r="G347" s="25"/>
      <c r="H347" s="25"/>
      <c r="I347" s="25"/>
    </row>
    <row r="348" spans="1:10" x14ac:dyDescent="0.2">
      <c r="B348" s="17" t="s">
        <v>49</v>
      </c>
      <c r="C348" s="25"/>
      <c r="D348" s="25"/>
      <c r="E348" s="25"/>
      <c r="F348" s="25"/>
      <c r="G348" s="25"/>
      <c r="H348" s="25"/>
      <c r="I348" s="25"/>
    </row>
    <row r="349" spans="1:10" x14ac:dyDescent="0.2">
      <c r="B349" s="17" t="s">
        <v>50</v>
      </c>
      <c r="C349" s="19">
        <f t="shared" ref="C349:I349" si="49">IF(AND(LEN(C346)&gt;0,C346&lt;&gt;0),GetDecimalTime(C346)-GetDecimalTime(C345),0)+IF(AND(LEN(C348)&gt;0,C348&lt;&gt;0),GetDecimalTime(C348)-GetDecimalTime(C347),0)</f>
        <v>0</v>
      </c>
      <c r="D349" s="19">
        <f t="shared" si="49"/>
        <v>0</v>
      </c>
      <c r="E349" s="19">
        <f t="shared" si="49"/>
        <v>0</v>
      </c>
      <c r="F349" s="19">
        <f t="shared" si="49"/>
        <v>0</v>
      </c>
      <c r="G349" s="19">
        <f t="shared" si="49"/>
        <v>0</v>
      </c>
      <c r="H349" s="19">
        <f t="shared" si="49"/>
        <v>0</v>
      </c>
      <c r="I349" s="19">
        <f t="shared" si="49"/>
        <v>0</v>
      </c>
      <c r="J349" s="20">
        <f>SUM(C349:I349)</f>
        <v>0</v>
      </c>
    </row>
    <row r="352" spans="1:10" x14ac:dyDescent="0.2">
      <c r="A352" s="15">
        <v>44179</v>
      </c>
      <c r="B352" s="17" t="s">
        <v>48</v>
      </c>
      <c r="C352" s="25"/>
      <c r="D352" s="25"/>
      <c r="E352" s="25"/>
      <c r="F352" s="25"/>
      <c r="G352" s="25"/>
      <c r="H352" s="25"/>
      <c r="I352" s="25"/>
    </row>
    <row r="353" spans="1:10" x14ac:dyDescent="0.2">
      <c r="A353" s="15"/>
      <c r="B353" s="17" t="s">
        <v>49</v>
      </c>
      <c r="C353" s="25"/>
      <c r="D353" s="25"/>
      <c r="E353" s="25"/>
      <c r="F353" s="25"/>
      <c r="G353" s="25"/>
      <c r="H353" s="25"/>
      <c r="I353" s="25"/>
    </row>
    <row r="354" spans="1:10" x14ac:dyDescent="0.2">
      <c r="A354" s="15"/>
      <c r="B354" s="17" t="s">
        <v>48</v>
      </c>
      <c r="C354" s="25"/>
      <c r="D354" s="25"/>
      <c r="E354" s="25"/>
      <c r="F354" s="25"/>
      <c r="G354" s="25"/>
      <c r="H354" s="25"/>
      <c r="I354" s="25"/>
    </row>
    <row r="355" spans="1:10" x14ac:dyDescent="0.2">
      <c r="B355" s="17" t="s">
        <v>49</v>
      </c>
      <c r="C355" s="25"/>
      <c r="D355" s="25"/>
      <c r="E355" s="25"/>
      <c r="F355" s="25"/>
      <c r="G355" s="25"/>
      <c r="H355" s="25"/>
      <c r="I355" s="25"/>
    </row>
    <row r="356" spans="1:10" x14ac:dyDescent="0.2">
      <c r="B356" s="17" t="s">
        <v>50</v>
      </c>
      <c r="C356" s="19">
        <f t="shared" ref="C356:I356" si="50">IF(AND(LEN(C353)&gt;0,C353&lt;&gt;0),GetDecimalTime(C353)-GetDecimalTime(C352),0)+IF(AND(LEN(C355)&gt;0,C355&lt;&gt;0),GetDecimalTime(C355)-GetDecimalTime(C354),0)</f>
        <v>0</v>
      </c>
      <c r="D356" s="19">
        <f t="shared" si="50"/>
        <v>0</v>
      </c>
      <c r="E356" s="19">
        <f t="shared" si="50"/>
        <v>0</v>
      </c>
      <c r="F356" s="19">
        <f t="shared" si="50"/>
        <v>0</v>
      </c>
      <c r="G356" s="19">
        <f t="shared" si="50"/>
        <v>0</v>
      </c>
      <c r="H356" s="19">
        <f t="shared" si="50"/>
        <v>0</v>
      </c>
      <c r="I356" s="19">
        <f t="shared" si="50"/>
        <v>0</v>
      </c>
      <c r="J356" s="20">
        <f>SUM(C356:I356)</f>
        <v>0</v>
      </c>
    </row>
    <row r="359" spans="1:10" x14ac:dyDescent="0.2">
      <c r="A359" s="15">
        <v>44186</v>
      </c>
      <c r="B359" s="17" t="s">
        <v>48</v>
      </c>
      <c r="C359" s="25"/>
      <c r="D359" s="25"/>
      <c r="E359" s="25"/>
      <c r="F359" s="25"/>
      <c r="G359" s="25"/>
      <c r="H359" s="25"/>
      <c r="I359" s="25"/>
    </row>
    <row r="360" spans="1:10" x14ac:dyDescent="0.2">
      <c r="A360" s="15"/>
      <c r="B360" s="17" t="s">
        <v>49</v>
      </c>
      <c r="C360" s="25"/>
      <c r="D360" s="25"/>
      <c r="E360" s="25"/>
      <c r="F360" s="25"/>
      <c r="G360" s="25"/>
      <c r="H360" s="25"/>
      <c r="I360" s="25"/>
    </row>
    <row r="361" spans="1:10" x14ac:dyDescent="0.2">
      <c r="A361" s="15"/>
      <c r="B361" s="17" t="s">
        <v>48</v>
      </c>
      <c r="C361" s="25"/>
      <c r="D361" s="25"/>
      <c r="E361" s="25"/>
      <c r="F361" s="25"/>
      <c r="G361" s="25"/>
      <c r="H361" s="25"/>
      <c r="I361" s="25"/>
    </row>
    <row r="362" spans="1:10" x14ac:dyDescent="0.2">
      <c r="B362" s="17" t="s">
        <v>49</v>
      </c>
      <c r="C362" s="25"/>
      <c r="D362" s="25"/>
      <c r="E362" s="25"/>
      <c r="F362" s="25"/>
      <c r="G362" s="25"/>
      <c r="H362" s="25"/>
      <c r="I362" s="25"/>
    </row>
    <row r="363" spans="1:10" x14ac:dyDescent="0.2">
      <c r="B363" s="17" t="s">
        <v>50</v>
      </c>
      <c r="C363" s="19">
        <f t="shared" ref="C363:I363" si="51">IF(AND(LEN(C360)&gt;0,C360&lt;&gt;0),GetDecimalTime(C360)-GetDecimalTime(C359),0)+IF(AND(LEN(C362)&gt;0,C362&lt;&gt;0),GetDecimalTime(C362)-GetDecimalTime(C361),0)</f>
        <v>0</v>
      </c>
      <c r="D363" s="19">
        <f t="shared" si="51"/>
        <v>0</v>
      </c>
      <c r="E363" s="19">
        <f t="shared" si="51"/>
        <v>0</v>
      </c>
      <c r="F363" s="19">
        <f t="shared" si="51"/>
        <v>0</v>
      </c>
      <c r="G363" s="19">
        <f t="shared" si="51"/>
        <v>0</v>
      </c>
      <c r="H363" s="19">
        <f t="shared" si="51"/>
        <v>0</v>
      </c>
      <c r="I363" s="19">
        <f t="shared" si="51"/>
        <v>0</v>
      </c>
      <c r="J363" s="20">
        <f>SUM(C363:I363)</f>
        <v>0</v>
      </c>
    </row>
    <row r="366" spans="1:10" x14ac:dyDescent="0.2">
      <c r="A366" s="15">
        <v>44193</v>
      </c>
      <c r="B366" s="17" t="s">
        <v>48</v>
      </c>
      <c r="C366" s="25"/>
      <c r="D366" s="25"/>
      <c r="E366" s="25"/>
      <c r="F366" s="25"/>
      <c r="G366" s="25"/>
      <c r="H366" s="25"/>
      <c r="I366" s="25"/>
    </row>
    <row r="367" spans="1:10" x14ac:dyDescent="0.2">
      <c r="A367" s="15"/>
      <c r="B367" s="17" t="s">
        <v>49</v>
      </c>
      <c r="C367" s="25"/>
      <c r="D367" s="25"/>
      <c r="E367" s="25"/>
      <c r="F367" s="25"/>
      <c r="G367" s="25"/>
      <c r="H367" s="25"/>
      <c r="I367" s="25"/>
    </row>
    <row r="368" spans="1:10" x14ac:dyDescent="0.2">
      <c r="A368" s="15"/>
      <c r="B368" s="17" t="s">
        <v>48</v>
      </c>
      <c r="C368" s="25"/>
      <c r="D368" s="25"/>
      <c r="E368" s="25"/>
      <c r="F368" s="25"/>
      <c r="G368" s="25"/>
      <c r="H368" s="25"/>
      <c r="I368" s="25"/>
    </row>
    <row r="369" spans="2:10" x14ac:dyDescent="0.2">
      <c r="B369" s="17" t="s">
        <v>49</v>
      </c>
      <c r="C369" s="25"/>
      <c r="D369" s="25"/>
      <c r="E369" s="25"/>
      <c r="F369" s="25"/>
      <c r="G369" s="25"/>
      <c r="H369" s="25"/>
      <c r="I369" s="25"/>
    </row>
    <row r="370" spans="2:10" x14ac:dyDescent="0.2">
      <c r="B370" s="17" t="s">
        <v>50</v>
      </c>
      <c r="C370" s="19">
        <f t="shared" ref="C370:I370" si="52">IF(AND(LEN(C367)&gt;0,C367&lt;&gt;0),GetDecimalTime(C367)-GetDecimalTime(C366),0)+IF(AND(LEN(C369)&gt;0,C369&lt;&gt;0),GetDecimalTime(C369)-GetDecimalTime(C368),0)</f>
        <v>0</v>
      </c>
      <c r="D370" s="19">
        <f t="shared" si="52"/>
        <v>0</v>
      </c>
      <c r="E370" s="19">
        <f t="shared" si="52"/>
        <v>0</v>
      </c>
      <c r="F370" s="19">
        <f t="shared" si="52"/>
        <v>0</v>
      </c>
      <c r="G370" s="19">
        <f t="shared" si="52"/>
        <v>0</v>
      </c>
      <c r="H370" s="19">
        <f t="shared" si="52"/>
        <v>0</v>
      </c>
      <c r="I370" s="19">
        <f t="shared" si="52"/>
        <v>0</v>
      </c>
      <c r="J370" s="20">
        <f>SUM(C370:I370)</f>
        <v>0</v>
      </c>
    </row>
  </sheetData>
  <phoneticPr fontId="0" type="noConversion"/>
  <pageMargins left="0.75" right="0.75" top="1" bottom="1" header="0.5" footer="0.5"/>
  <pageSetup orientation="portrait" horizontalDpi="1200" verticalDpi="12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M2"/>
  <sheetViews>
    <sheetView workbookViewId="0">
      <pane ySplit="2" topLeftCell="A3" activePane="bottomLeft" state="frozen"/>
      <selection pane="bottomLeft" activeCell="A3" sqref="A3"/>
    </sheetView>
  </sheetViews>
  <sheetFormatPr defaultRowHeight="10.199999999999999" x14ac:dyDescent="0.2"/>
  <cols>
    <col min="3" max="3" width="20.375" customWidth="1"/>
    <col min="4" max="4" width="9" customWidth="1"/>
    <col min="5" max="5" width="19" customWidth="1"/>
    <col min="6" max="7" width="15.875" style="1" customWidth="1"/>
    <col min="8" max="9" width="9" style="26" customWidth="1"/>
    <col min="10" max="13" width="9" style="26"/>
  </cols>
  <sheetData>
    <row r="1" spans="1:13" ht="10.8" thickBot="1" x14ac:dyDescent="0.25">
      <c r="H1" s="36">
        <f>SUBTOTAL(109,H3:H232)</f>
        <v>0</v>
      </c>
      <c r="I1" s="36">
        <f>SUBTOTAL(109,I3:I232)</f>
        <v>0</v>
      </c>
      <c r="J1" s="36">
        <f>SUBTOTAL(109,J3:J232)</f>
        <v>0</v>
      </c>
      <c r="K1" s="36">
        <f>SUBTOTAL(109,K3:K232)</f>
        <v>0</v>
      </c>
      <c r="L1" s="36">
        <f>SUBTOTAL(109,L3:L232)</f>
        <v>0</v>
      </c>
      <c r="M1" s="36">
        <f>K1-L1</f>
        <v>0</v>
      </c>
    </row>
    <row r="2" spans="1:13" ht="14.1" customHeight="1" x14ac:dyDescent="0.2">
      <c r="A2" t="s">
        <v>103</v>
      </c>
      <c r="B2" t="s">
        <v>104</v>
      </c>
      <c r="C2" t="s">
        <v>140</v>
      </c>
      <c r="D2" t="s">
        <v>54</v>
      </c>
      <c r="E2" t="s">
        <v>0</v>
      </c>
      <c r="F2" s="1" t="s">
        <v>55</v>
      </c>
      <c r="G2" s="1" t="s">
        <v>56</v>
      </c>
      <c r="H2" s="26" t="s">
        <v>1</v>
      </c>
      <c r="I2" s="26" t="s">
        <v>57</v>
      </c>
      <c r="J2" s="26" t="s">
        <v>58</v>
      </c>
      <c r="K2" s="79" t="s">
        <v>136</v>
      </c>
      <c r="L2" s="26" t="s">
        <v>59</v>
      </c>
      <c r="M2" s="26" t="s">
        <v>60</v>
      </c>
    </row>
  </sheetData>
  <autoFilter ref="A2:M2" xr:uid="{25541D12-0411-4482-B080-9CAC50A5056D}"/>
  <phoneticPr fontId="0" type="noConversion"/>
  <conditionalFormatting sqref="M1">
    <cfRule type="expression" dxfId="27" priority="20">
      <formula>$M$1&gt;0</formula>
    </cfRule>
    <cfRule type="expression" dxfId="26" priority="21">
      <formula>$M$1&lt;=0</formula>
    </cfRule>
  </conditionalFormatting>
  <dataValidations count="1">
    <dataValidation type="list" allowBlank="1" showInputMessage="1" showErrorMessage="1" sqref="C3" xr:uid="{2F8504EC-AC28-457E-9847-E58C7B615043}">
      <formula1>Services_CustomerService</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M2"/>
  <sheetViews>
    <sheetView workbookViewId="0">
      <pane ySplit="2" topLeftCell="A3" activePane="bottomLeft" state="frozen"/>
      <selection pane="bottomLeft" activeCell="A3" sqref="A3"/>
    </sheetView>
  </sheetViews>
  <sheetFormatPr defaultRowHeight="10.199999999999999" x14ac:dyDescent="0.2"/>
  <cols>
    <col min="3" max="3" width="20.375" customWidth="1"/>
    <col min="4" max="4" width="9" customWidth="1"/>
    <col min="5" max="5" width="19" customWidth="1"/>
    <col min="6" max="6" width="15.875" style="1" customWidth="1"/>
    <col min="7" max="7" width="15.875" style="1" bestFit="1" customWidth="1"/>
    <col min="8" max="13" width="9" style="26"/>
  </cols>
  <sheetData>
    <row r="1" spans="1:13" ht="10.8" thickBot="1" x14ac:dyDescent="0.25">
      <c r="H1" s="36">
        <f>SUBTOTAL(109,H3:H250)</f>
        <v>0</v>
      </c>
      <c r="I1" s="36">
        <f>SUBTOTAL(109,I3:I250)</f>
        <v>0</v>
      </c>
      <c r="J1" s="36">
        <f>SUBTOTAL(109,J3:J250)</f>
        <v>0</v>
      </c>
      <c r="K1" s="36">
        <f>SUBTOTAL(109,K3:K250)</f>
        <v>0</v>
      </c>
      <c r="L1" s="36">
        <f>SUBTOTAL(109,L3:L250)</f>
        <v>0</v>
      </c>
      <c r="M1" s="36">
        <f>K1-L1</f>
        <v>0</v>
      </c>
    </row>
    <row r="2" spans="1:13" ht="14.1" customHeight="1" x14ac:dyDescent="0.2">
      <c r="A2" t="s">
        <v>103</v>
      </c>
      <c r="B2" t="s">
        <v>104</v>
      </c>
      <c r="C2" s="43" t="s">
        <v>140</v>
      </c>
      <c r="D2" t="s">
        <v>54</v>
      </c>
      <c r="E2" t="s">
        <v>0</v>
      </c>
      <c r="F2" s="1" t="s">
        <v>55</v>
      </c>
      <c r="G2" s="1" t="s">
        <v>56</v>
      </c>
      <c r="H2" s="26" t="s">
        <v>1</v>
      </c>
      <c r="I2" s="26" t="s">
        <v>57</v>
      </c>
      <c r="J2" s="26" t="s">
        <v>58</v>
      </c>
      <c r="K2" s="79" t="s">
        <v>136</v>
      </c>
      <c r="L2" s="26" t="s">
        <v>59</v>
      </c>
      <c r="M2" s="26" t="s">
        <v>60</v>
      </c>
    </row>
  </sheetData>
  <autoFilter ref="A2:M2" xr:uid="{388E5D32-0BA2-4602-B6BA-77358F7619C5}"/>
  <phoneticPr fontId="0" type="noConversion"/>
  <conditionalFormatting sqref="M1">
    <cfRule type="expression" dxfId="25" priority="1">
      <formula>$M$1&gt;0</formula>
    </cfRule>
    <cfRule type="expression" dxfId="24" priority="2">
      <formula>$M$1&lt;=0</formula>
    </cfRule>
  </conditionalFormatting>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M2"/>
  <sheetViews>
    <sheetView workbookViewId="0">
      <pane ySplit="2" topLeftCell="A3" activePane="bottomLeft" state="frozen"/>
      <selection pane="bottomLeft" activeCell="A3" sqref="A3"/>
    </sheetView>
  </sheetViews>
  <sheetFormatPr defaultRowHeight="10.199999999999999" x14ac:dyDescent="0.2"/>
  <cols>
    <col min="3" max="3" width="20.375" customWidth="1"/>
    <col min="4" max="4" width="9" customWidth="1"/>
    <col min="5" max="5" width="19" customWidth="1"/>
    <col min="6" max="7" width="15.875" style="1" customWidth="1"/>
    <col min="8" max="13" width="9" style="26"/>
  </cols>
  <sheetData>
    <row r="1" spans="1:13" ht="10.8" thickBot="1" x14ac:dyDescent="0.25">
      <c r="H1" s="36">
        <f>SUBTOTAL(109,H3:H250)</f>
        <v>0</v>
      </c>
      <c r="I1" s="36">
        <f>SUBTOTAL(109,I3:I250)</f>
        <v>0</v>
      </c>
      <c r="J1" s="36">
        <f>SUBTOTAL(109,J3:J250)</f>
        <v>0</v>
      </c>
      <c r="K1" s="36">
        <f>SUBTOTAL(109,K3:K250)</f>
        <v>0</v>
      </c>
      <c r="L1" s="36">
        <f>SUBTOTAL(109,L3:L250)</f>
        <v>0</v>
      </c>
      <c r="M1" s="36">
        <f>K1-L1</f>
        <v>0</v>
      </c>
    </row>
    <row r="2" spans="1:13" ht="14.1" customHeight="1" x14ac:dyDescent="0.2">
      <c r="A2" t="s">
        <v>103</v>
      </c>
      <c r="B2" t="s">
        <v>104</v>
      </c>
      <c r="C2" s="43" t="s">
        <v>140</v>
      </c>
      <c r="D2" t="s">
        <v>54</v>
      </c>
      <c r="E2" t="s">
        <v>0</v>
      </c>
      <c r="F2" s="1" t="s">
        <v>55</v>
      </c>
      <c r="G2" s="1" t="s">
        <v>56</v>
      </c>
      <c r="H2" s="26" t="s">
        <v>1</v>
      </c>
      <c r="I2" s="26" t="s">
        <v>57</v>
      </c>
      <c r="J2" s="26" t="s">
        <v>58</v>
      </c>
      <c r="K2" s="79" t="s">
        <v>136</v>
      </c>
      <c r="L2" s="26" t="s">
        <v>59</v>
      </c>
      <c r="M2" s="26" t="s">
        <v>60</v>
      </c>
    </row>
  </sheetData>
  <autoFilter ref="A2:M2" xr:uid="{1CE7D78F-E538-47A2-BB05-06B085FEAC73}"/>
  <phoneticPr fontId="0" type="noConversion"/>
  <conditionalFormatting sqref="M1">
    <cfRule type="expression" dxfId="23" priority="1">
      <formula>$M$1&gt;0</formula>
    </cfRule>
    <cfRule type="expression" dxfId="22" priority="2">
      <formula>$M$1&lt;=0</formula>
    </cfRule>
  </conditionalFormatting>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M2"/>
  <sheetViews>
    <sheetView workbookViewId="0">
      <pane ySplit="2" topLeftCell="A3" activePane="bottomLeft" state="frozen"/>
      <selection pane="bottomLeft" activeCell="A3" sqref="A3"/>
    </sheetView>
  </sheetViews>
  <sheetFormatPr defaultRowHeight="10.199999999999999" x14ac:dyDescent="0.2"/>
  <cols>
    <col min="3" max="3" width="20.375" customWidth="1"/>
    <col min="4" max="4" width="9" customWidth="1"/>
    <col min="5" max="5" width="19" customWidth="1"/>
    <col min="6" max="7" width="15.875" style="1" customWidth="1"/>
    <col min="8" max="13" width="9" style="26"/>
  </cols>
  <sheetData>
    <row r="1" spans="1:13" ht="10.8" thickBot="1" x14ac:dyDescent="0.25">
      <c r="H1" s="36">
        <f>SUBTOTAL(109,H3:H250)</f>
        <v>0</v>
      </c>
      <c r="I1" s="36">
        <f>SUBTOTAL(109,I3:I250)</f>
        <v>0</v>
      </c>
      <c r="J1" s="36">
        <f>SUBTOTAL(109,J3:J250)</f>
        <v>0</v>
      </c>
      <c r="K1" s="36">
        <f>SUBTOTAL(109,K3:K250)</f>
        <v>0</v>
      </c>
      <c r="L1" s="36">
        <f>SUBTOTAL(109,L3:L250)</f>
        <v>0</v>
      </c>
      <c r="M1" s="36">
        <f>K1-L1</f>
        <v>0</v>
      </c>
    </row>
    <row r="2" spans="1:13" ht="14.1" customHeight="1" x14ac:dyDescent="0.2">
      <c r="A2" t="s">
        <v>103</v>
      </c>
      <c r="B2" t="s">
        <v>104</v>
      </c>
      <c r="C2" s="43" t="s">
        <v>140</v>
      </c>
      <c r="D2" t="s">
        <v>54</v>
      </c>
      <c r="E2" t="s">
        <v>0</v>
      </c>
      <c r="F2" s="1" t="s">
        <v>55</v>
      </c>
      <c r="G2" s="1" t="s">
        <v>56</v>
      </c>
      <c r="H2" s="26" t="s">
        <v>1</v>
      </c>
      <c r="I2" s="26" t="s">
        <v>57</v>
      </c>
      <c r="J2" s="26" t="s">
        <v>58</v>
      </c>
      <c r="K2" s="79" t="s">
        <v>136</v>
      </c>
      <c r="L2" s="26" t="s">
        <v>59</v>
      </c>
      <c r="M2" s="26" t="s">
        <v>60</v>
      </c>
    </row>
  </sheetData>
  <autoFilter ref="A2:M2" xr:uid="{4056CC25-9384-441C-984D-756C8D48C130}"/>
  <phoneticPr fontId="0" type="noConversion"/>
  <conditionalFormatting sqref="M1">
    <cfRule type="expression" dxfId="21" priority="1">
      <formula>$M$1&gt;0</formula>
    </cfRule>
    <cfRule type="expression" dxfId="20" priority="2">
      <formula>$M$1&lt;=0</formula>
    </cfRule>
  </conditionalFormatting>
  <pageMargins left="0.75" right="0.75" top="1" bottom="1" header="0.5" footer="0.5"/>
  <pageSetup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M2"/>
  <sheetViews>
    <sheetView workbookViewId="0">
      <pane ySplit="2" topLeftCell="A3" activePane="bottomLeft" state="frozen"/>
      <selection pane="bottomLeft" activeCell="A3" sqref="A3"/>
    </sheetView>
  </sheetViews>
  <sheetFormatPr defaultRowHeight="10.199999999999999" x14ac:dyDescent="0.2"/>
  <cols>
    <col min="3" max="3" width="20.375" customWidth="1"/>
    <col min="4" max="4" width="9" customWidth="1"/>
    <col min="5" max="5" width="19" customWidth="1"/>
    <col min="6" max="7" width="15.875" style="1" customWidth="1"/>
    <col min="8" max="13" width="9" style="26"/>
  </cols>
  <sheetData>
    <row r="1" spans="1:13" ht="10.8" thickBot="1" x14ac:dyDescent="0.25">
      <c r="H1" s="36">
        <f>SUBTOTAL(109,H3:H250)</f>
        <v>0</v>
      </c>
      <c r="I1" s="36">
        <f>SUBTOTAL(109,I3:I250)</f>
        <v>0</v>
      </c>
      <c r="J1" s="36">
        <f>SUBTOTAL(109,J3:J250)</f>
        <v>0</v>
      </c>
      <c r="K1" s="36">
        <f>SUBTOTAL(109,K3:K250)</f>
        <v>0</v>
      </c>
      <c r="L1" s="36">
        <f>SUBTOTAL(109,L3:L250)</f>
        <v>0</v>
      </c>
      <c r="M1" s="36">
        <f>K1-L1</f>
        <v>0</v>
      </c>
    </row>
    <row r="2" spans="1:13" ht="14.1" customHeight="1" x14ac:dyDescent="0.2">
      <c r="A2" t="s">
        <v>103</v>
      </c>
      <c r="B2" t="s">
        <v>104</v>
      </c>
      <c r="C2" s="43" t="s">
        <v>140</v>
      </c>
      <c r="D2" t="s">
        <v>54</v>
      </c>
      <c r="E2" t="s">
        <v>0</v>
      </c>
      <c r="F2" s="1" t="s">
        <v>55</v>
      </c>
      <c r="G2" s="1" t="s">
        <v>56</v>
      </c>
      <c r="H2" s="26" t="s">
        <v>1</v>
      </c>
      <c r="I2" s="26" t="s">
        <v>57</v>
      </c>
      <c r="J2" s="26" t="s">
        <v>58</v>
      </c>
      <c r="K2" s="79" t="s">
        <v>136</v>
      </c>
      <c r="L2" s="26" t="s">
        <v>59</v>
      </c>
      <c r="M2" s="26" t="s">
        <v>60</v>
      </c>
    </row>
  </sheetData>
  <autoFilter ref="A2:M2" xr:uid="{B394AC5A-76BF-443C-B627-4AF575B35F90}"/>
  <phoneticPr fontId="0" type="noConversion"/>
  <conditionalFormatting sqref="M1">
    <cfRule type="expression" dxfId="19" priority="1">
      <formula>$M$1&gt;0</formula>
    </cfRule>
    <cfRule type="expression" dxfId="18" priority="2">
      <formula>$M$1&lt;=0</formula>
    </cfRule>
  </conditionalFormatting>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M2"/>
  <sheetViews>
    <sheetView workbookViewId="0">
      <pane ySplit="2" topLeftCell="A3" activePane="bottomLeft" state="frozen"/>
      <selection pane="bottomLeft" activeCell="A3" sqref="A3"/>
    </sheetView>
  </sheetViews>
  <sheetFormatPr defaultRowHeight="10.199999999999999" x14ac:dyDescent="0.2"/>
  <cols>
    <col min="3" max="3" width="20.375" customWidth="1"/>
    <col min="4" max="4" width="9" customWidth="1"/>
    <col min="5" max="5" width="19" customWidth="1"/>
    <col min="6" max="7" width="15.875" style="1" customWidth="1"/>
    <col min="8" max="13" width="9" style="26"/>
  </cols>
  <sheetData>
    <row r="1" spans="1:13" ht="10.8" thickBot="1" x14ac:dyDescent="0.25">
      <c r="H1" s="36">
        <f>SUBTOTAL(109,H3:H250)</f>
        <v>0</v>
      </c>
      <c r="I1" s="36">
        <f>SUBTOTAL(109,I3:I250)</f>
        <v>0</v>
      </c>
      <c r="J1" s="36">
        <f>SUBTOTAL(109,J3:J250)</f>
        <v>0</v>
      </c>
      <c r="K1" s="36">
        <f>SUBTOTAL(109,K3:K250)</f>
        <v>0</v>
      </c>
      <c r="L1" s="36">
        <f>SUBTOTAL(109,L3:L250)</f>
        <v>0</v>
      </c>
      <c r="M1" s="36">
        <f>K1-L1</f>
        <v>0</v>
      </c>
    </row>
    <row r="2" spans="1:13" ht="14.1" customHeight="1" x14ac:dyDescent="0.2">
      <c r="A2" t="s">
        <v>103</v>
      </c>
      <c r="B2" t="s">
        <v>104</v>
      </c>
      <c r="C2" s="43" t="s">
        <v>140</v>
      </c>
      <c r="D2" t="s">
        <v>54</v>
      </c>
      <c r="E2" t="s">
        <v>0</v>
      </c>
      <c r="F2" s="1" t="s">
        <v>55</v>
      </c>
      <c r="G2" s="1" t="s">
        <v>56</v>
      </c>
      <c r="H2" s="26" t="s">
        <v>1</v>
      </c>
      <c r="I2" s="26" t="s">
        <v>57</v>
      </c>
      <c r="J2" s="26" t="s">
        <v>58</v>
      </c>
      <c r="K2" s="79" t="s">
        <v>136</v>
      </c>
      <c r="L2" s="26" t="s">
        <v>59</v>
      </c>
      <c r="M2" s="26" t="s">
        <v>60</v>
      </c>
    </row>
  </sheetData>
  <autoFilter ref="A2:M2" xr:uid="{65546FC0-1F36-48FA-B147-2BDF9C03D03A}"/>
  <phoneticPr fontId="0" type="noConversion"/>
  <conditionalFormatting sqref="M1">
    <cfRule type="expression" dxfId="17" priority="1">
      <formula>$M$1&gt;0</formula>
    </cfRule>
    <cfRule type="expression" dxfId="16" priority="2">
      <formula>$M$1&lt;=0</formula>
    </cfRule>
  </conditionalFormatting>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M2"/>
  <sheetViews>
    <sheetView workbookViewId="0">
      <pane ySplit="2" topLeftCell="A3" activePane="bottomLeft" state="frozen"/>
      <selection pane="bottomLeft" activeCell="A3" sqref="A3"/>
    </sheetView>
  </sheetViews>
  <sheetFormatPr defaultRowHeight="10.199999999999999" x14ac:dyDescent="0.2"/>
  <cols>
    <col min="3" max="3" width="20.375" customWidth="1"/>
    <col min="4" max="4" width="9" customWidth="1"/>
    <col min="5" max="5" width="19" customWidth="1"/>
    <col min="6" max="7" width="15.875" style="1" customWidth="1"/>
    <col min="8" max="13" width="9" style="26"/>
  </cols>
  <sheetData>
    <row r="1" spans="1:13" ht="10.8" thickBot="1" x14ac:dyDescent="0.25">
      <c r="H1" s="36">
        <f>SUBTOTAL(109,H3:H250)</f>
        <v>0</v>
      </c>
      <c r="I1" s="36">
        <f>SUBTOTAL(109,I3:I250)</f>
        <v>0</v>
      </c>
      <c r="J1" s="36">
        <f>SUBTOTAL(109,J3:J250)</f>
        <v>0</v>
      </c>
      <c r="K1" s="36">
        <f>SUBTOTAL(109,K3:K250)</f>
        <v>0</v>
      </c>
      <c r="L1" s="36">
        <f>SUBTOTAL(109,L3:L250)</f>
        <v>0</v>
      </c>
      <c r="M1" s="36">
        <f>K1-L1</f>
        <v>0</v>
      </c>
    </row>
    <row r="2" spans="1:13" ht="14.1" customHeight="1" x14ac:dyDescent="0.2">
      <c r="A2" t="s">
        <v>103</v>
      </c>
      <c r="B2" t="s">
        <v>104</v>
      </c>
      <c r="C2" s="43" t="s">
        <v>140</v>
      </c>
      <c r="D2" t="s">
        <v>54</v>
      </c>
      <c r="E2" t="s">
        <v>0</v>
      </c>
      <c r="F2" s="1" t="s">
        <v>55</v>
      </c>
      <c r="G2" s="1" t="s">
        <v>56</v>
      </c>
      <c r="H2" s="26" t="s">
        <v>1</v>
      </c>
      <c r="I2" s="26" t="s">
        <v>57</v>
      </c>
      <c r="J2" s="26" t="s">
        <v>58</v>
      </c>
      <c r="K2" s="79" t="s">
        <v>136</v>
      </c>
      <c r="L2" s="26" t="s">
        <v>59</v>
      </c>
      <c r="M2" s="26" t="s">
        <v>60</v>
      </c>
    </row>
  </sheetData>
  <autoFilter ref="A2:M2" xr:uid="{DA28CE1B-6B35-43E2-8CCD-F910F8ADE927}"/>
  <phoneticPr fontId="0" type="noConversion"/>
  <conditionalFormatting sqref="M1">
    <cfRule type="expression" dxfId="15" priority="1">
      <formula>$M$1&gt;0</formula>
    </cfRule>
    <cfRule type="expression" dxfId="14" priority="2">
      <formula>$M$1&lt;=0</formula>
    </cfRule>
  </conditionalFormatting>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M2"/>
  <sheetViews>
    <sheetView workbookViewId="0">
      <pane ySplit="2" topLeftCell="A3" activePane="bottomLeft" state="frozen"/>
      <selection pane="bottomLeft" activeCell="A3" sqref="A3"/>
    </sheetView>
  </sheetViews>
  <sheetFormatPr defaultRowHeight="10.199999999999999" x14ac:dyDescent="0.2"/>
  <cols>
    <col min="1" max="2" width="9" customWidth="1"/>
    <col min="3" max="3" width="20.375" customWidth="1"/>
    <col min="4" max="4" width="9" customWidth="1"/>
    <col min="5" max="5" width="19" customWidth="1"/>
    <col min="6" max="7" width="15.875" style="1" customWidth="1"/>
    <col min="8" max="8" width="9" style="26"/>
    <col min="9" max="9" width="9" style="26" customWidth="1"/>
    <col min="10" max="13" width="9" style="26"/>
  </cols>
  <sheetData>
    <row r="1" spans="1:13" ht="10.8" thickBot="1" x14ac:dyDescent="0.25">
      <c r="H1" s="36">
        <f>SUBTOTAL(109,H3:H212)</f>
        <v>0</v>
      </c>
      <c r="I1" s="36">
        <f>SUBTOTAL(109,I3:I212)</f>
        <v>0</v>
      </c>
      <c r="J1" s="36">
        <f>SUBTOTAL(109,J3:J212)</f>
        <v>0</v>
      </c>
      <c r="K1" s="36">
        <f>SUBTOTAL(109,K3:K212)</f>
        <v>0</v>
      </c>
      <c r="L1" s="36">
        <f>SUBTOTAL(109,L3:L212)</f>
        <v>0</v>
      </c>
      <c r="M1" s="36">
        <f>K1-L1</f>
        <v>0</v>
      </c>
    </row>
    <row r="2" spans="1:13" ht="14.1" customHeight="1" x14ac:dyDescent="0.2">
      <c r="A2" s="43" t="s">
        <v>103</v>
      </c>
      <c r="B2" s="43" t="s">
        <v>104</v>
      </c>
      <c r="C2" s="43" t="s">
        <v>140</v>
      </c>
      <c r="D2" t="s">
        <v>54</v>
      </c>
      <c r="E2" t="s">
        <v>0</v>
      </c>
      <c r="F2" s="1" t="s">
        <v>55</v>
      </c>
      <c r="G2" s="1" t="s">
        <v>56</v>
      </c>
      <c r="H2" s="26" t="s">
        <v>1</v>
      </c>
      <c r="I2" s="26" t="s">
        <v>57</v>
      </c>
      <c r="J2" s="26" t="s">
        <v>58</v>
      </c>
      <c r="K2" s="79" t="s">
        <v>136</v>
      </c>
      <c r="L2" s="26" t="s">
        <v>59</v>
      </c>
      <c r="M2" s="26" t="s">
        <v>60</v>
      </c>
    </row>
  </sheetData>
  <autoFilter ref="A2:M2" xr:uid="{00000000-0009-0000-0000-00000A000000}"/>
  <phoneticPr fontId="0" type="noConversion"/>
  <conditionalFormatting sqref="M1">
    <cfRule type="expression" dxfId="13" priority="1">
      <formula>$M$1&gt;0</formula>
    </cfRule>
    <cfRule type="expression" dxfId="12" priority="2">
      <formula>$M$1&lt;=0</formula>
    </cfRule>
  </conditionalFormatting>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M2"/>
  <sheetViews>
    <sheetView workbookViewId="0">
      <pane ySplit="2" topLeftCell="A3" activePane="bottomLeft" state="frozen"/>
      <selection pane="bottomLeft" activeCell="A3" sqref="A3"/>
    </sheetView>
  </sheetViews>
  <sheetFormatPr defaultRowHeight="10.199999999999999" x14ac:dyDescent="0.2"/>
  <cols>
    <col min="3" max="3" width="20.375" customWidth="1"/>
    <col min="4" max="4" width="9" customWidth="1"/>
    <col min="5" max="5" width="19" customWidth="1"/>
    <col min="6" max="7" width="15.875" style="1" customWidth="1"/>
    <col min="8" max="13" width="9" style="26"/>
  </cols>
  <sheetData>
    <row r="1" spans="1:13" ht="10.8" thickBot="1" x14ac:dyDescent="0.25">
      <c r="H1" s="36">
        <f>SUBTOTAL(109,H3:H216)</f>
        <v>0</v>
      </c>
      <c r="I1" s="36">
        <f>SUBTOTAL(109,I3:I216)</f>
        <v>0</v>
      </c>
      <c r="J1" s="36">
        <f>SUBTOTAL(109,J3:J216)</f>
        <v>0</v>
      </c>
      <c r="K1" s="36">
        <f>SUBTOTAL(109,K3:K216)</f>
        <v>0</v>
      </c>
      <c r="L1" s="36">
        <f>SUBTOTAL(109,L3:L216)</f>
        <v>0</v>
      </c>
      <c r="M1" s="36">
        <f>K1-L1</f>
        <v>0</v>
      </c>
    </row>
    <row r="2" spans="1:13" ht="14.1" customHeight="1" x14ac:dyDescent="0.2">
      <c r="A2" t="s">
        <v>103</v>
      </c>
      <c r="B2" t="s">
        <v>104</v>
      </c>
      <c r="C2" s="43" t="s">
        <v>140</v>
      </c>
      <c r="D2" t="s">
        <v>54</v>
      </c>
      <c r="E2" t="s">
        <v>0</v>
      </c>
      <c r="F2" s="1" t="s">
        <v>55</v>
      </c>
      <c r="G2" s="1" t="s">
        <v>56</v>
      </c>
      <c r="H2" s="26" t="s">
        <v>1</v>
      </c>
      <c r="I2" s="26" t="s">
        <v>57</v>
      </c>
      <c r="J2" s="26" t="s">
        <v>58</v>
      </c>
      <c r="K2" s="79" t="s">
        <v>136</v>
      </c>
      <c r="L2" s="26" t="s">
        <v>59</v>
      </c>
      <c r="M2" s="26" t="s">
        <v>60</v>
      </c>
    </row>
  </sheetData>
  <autoFilter ref="A2:M2" xr:uid="{BA07AA2C-3A4C-4635-83DF-8F570EC80551}"/>
  <phoneticPr fontId="0" type="noConversion"/>
  <conditionalFormatting sqref="M1">
    <cfRule type="expression" dxfId="11" priority="1">
      <formula>$M$1&gt;0</formula>
    </cfRule>
    <cfRule type="expression" dxfId="10" priority="2">
      <formula>$M$1&lt;=0</formula>
    </cfRule>
  </conditionalFormatting>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A1:M2"/>
  <sheetViews>
    <sheetView workbookViewId="0">
      <pane ySplit="2" topLeftCell="A3" activePane="bottomLeft" state="frozen"/>
      <selection pane="bottomLeft" activeCell="A3" sqref="A3"/>
    </sheetView>
  </sheetViews>
  <sheetFormatPr defaultRowHeight="10.199999999999999" x14ac:dyDescent="0.2"/>
  <cols>
    <col min="3" max="3" width="20.375" customWidth="1"/>
    <col min="4" max="4" width="9" customWidth="1"/>
    <col min="5" max="5" width="19" customWidth="1"/>
    <col min="6" max="7" width="15.875" style="1" customWidth="1"/>
    <col min="8" max="13" width="9" style="26"/>
  </cols>
  <sheetData>
    <row r="1" spans="1:13" ht="10.8" thickBot="1" x14ac:dyDescent="0.25">
      <c r="H1" s="36">
        <f>SUBTOTAL(109,H3:H250)</f>
        <v>0</v>
      </c>
      <c r="I1" s="36">
        <f>SUBTOTAL(109,I3:I250)</f>
        <v>0</v>
      </c>
      <c r="J1" s="36">
        <f>SUBTOTAL(109,J3:J250)</f>
        <v>0</v>
      </c>
      <c r="K1" s="36">
        <f>SUBTOTAL(109,K3:K250)</f>
        <v>0</v>
      </c>
      <c r="L1" s="36">
        <f>SUBTOTAL(109,L3:L250)</f>
        <v>0</v>
      </c>
      <c r="M1" s="36">
        <f>K1-L1</f>
        <v>0</v>
      </c>
    </row>
    <row r="2" spans="1:13" ht="14.1" customHeight="1" x14ac:dyDescent="0.2">
      <c r="A2" t="s">
        <v>103</v>
      </c>
      <c r="B2" t="s">
        <v>104</v>
      </c>
      <c r="C2" s="43" t="s">
        <v>140</v>
      </c>
      <c r="D2" t="s">
        <v>54</v>
      </c>
      <c r="E2" t="s">
        <v>0</v>
      </c>
      <c r="F2" s="1" t="s">
        <v>55</v>
      </c>
      <c r="G2" s="1" t="s">
        <v>56</v>
      </c>
      <c r="H2" s="26" t="s">
        <v>1</v>
      </c>
      <c r="I2" s="26" t="s">
        <v>57</v>
      </c>
      <c r="J2" s="26" t="s">
        <v>58</v>
      </c>
      <c r="K2" s="79" t="s">
        <v>136</v>
      </c>
      <c r="L2" s="26" t="s">
        <v>59</v>
      </c>
      <c r="M2" s="26" t="s">
        <v>60</v>
      </c>
    </row>
  </sheetData>
  <autoFilter ref="A2:M2" xr:uid="{3F5E74D2-5923-4AFE-94C4-6D331E973BFE}"/>
  <phoneticPr fontId="0" type="noConversion"/>
  <conditionalFormatting sqref="M1">
    <cfRule type="expression" dxfId="9" priority="1">
      <formula>$M$1&gt;0</formula>
    </cfRule>
    <cfRule type="expression" dxfId="8" priority="2">
      <formula>$M$1&lt;=0</formula>
    </cfRule>
  </conditionalFormatting>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M2"/>
  <sheetViews>
    <sheetView workbookViewId="0">
      <pane ySplit="2" topLeftCell="A3" activePane="bottomLeft" state="frozen"/>
      <selection pane="bottomLeft" activeCell="A3" sqref="A3"/>
    </sheetView>
  </sheetViews>
  <sheetFormatPr defaultRowHeight="10.199999999999999" x14ac:dyDescent="0.2"/>
  <cols>
    <col min="3" max="3" width="20.375" customWidth="1"/>
    <col min="4" max="4" width="9" customWidth="1"/>
    <col min="5" max="5" width="19" customWidth="1"/>
    <col min="6" max="7" width="15.875" style="1" customWidth="1"/>
    <col min="8" max="8" width="9" style="26"/>
    <col min="9" max="13" width="9" style="26" customWidth="1"/>
  </cols>
  <sheetData>
    <row r="1" spans="1:13" ht="10.8" thickBot="1" x14ac:dyDescent="0.25">
      <c r="H1" s="36">
        <f>SUBTOTAL(109,H3:H246)</f>
        <v>0</v>
      </c>
      <c r="I1" s="36">
        <f>SUBTOTAL(109,I3:I246)</f>
        <v>0</v>
      </c>
      <c r="J1" s="36">
        <f>SUBTOTAL(109,J3:J246)</f>
        <v>0</v>
      </c>
      <c r="K1" s="36">
        <f>SUBTOTAL(109,K3:K246)</f>
        <v>0</v>
      </c>
      <c r="L1" s="36">
        <f>SUBTOTAL(109,L3:L246)</f>
        <v>0</v>
      </c>
      <c r="M1" s="36">
        <f>K1-L1</f>
        <v>0</v>
      </c>
    </row>
    <row r="2" spans="1:13" ht="14.1" customHeight="1" x14ac:dyDescent="0.2">
      <c r="A2" t="s">
        <v>103</v>
      </c>
      <c r="B2" t="s">
        <v>104</v>
      </c>
      <c r="C2" s="43" t="s">
        <v>140</v>
      </c>
      <c r="D2" t="s">
        <v>54</v>
      </c>
      <c r="E2" t="s">
        <v>0</v>
      </c>
      <c r="F2" s="1" t="s">
        <v>55</v>
      </c>
      <c r="G2" s="1" t="s">
        <v>56</v>
      </c>
      <c r="H2" s="26" t="s">
        <v>1</v>
      </c>
      <c r="I2" s="26" t="s">
        <v>57</v>
      </c>
      <c r="J2" s="26" t="s">
        <v>58</v>
      </c>
      <c r="K2" s="79" t="s">
        <v>136</v>
      </c>
      <c r="L2" s="26" t="s">
        <v>59</v>
      </c>
      <c r="M2" s="26" t="s">
        <v>60</v>
      </c>
    </row>
  </sheetData>
  <autoFilter ref="A2:M2" xr:uid="{94CCE73B-3157-4DA7-A2BB-BB77101552E8}"/>
  <phoneticPr fontId="0" type="noConversion"/>
  <conditionalFormatting sqref="M1">
    <cfRule type="expression" dxfId="7" priority="1">
      <formula>$M$1&gt;0</formula>
    </cfRule>
    <cfRule type="expression" dxfId="6" priority="2">
      <formula>$M$1&lt;=0</formula>
    </cfRule>
  </conditionalFormatting>
  <printOptions horizontalCentered="1" gridLines="1"/>
  <pageMargins left="0.75" right="0.75" top="1" bottom="1" header="0.5" footer="0.5"/>
  <pageSetup fitToHeight="0" orientation="landscape" r:id="rId1"/>
  <headerFooter alignWithMargins="0">
    <oddHeader>Page &amp;P of &amp;N</oddHeader>
    <oddFooter>&amp;A</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dimension ref="A1:M2"/>
  <sheetViews>
    <sheetView workbookViewId="0">
      <pane ySplit="2" topLeftCell="A3" activePane="bottomLeft" state="frozen"/>
      <selection pane="bottomLeft" activeCell="A3" sqref="A3"/>
    </sheetView>
  </sheetViews>
  <sheetFormatPr defaultRowHeight="10.199999999999999" x14ac:dyDescent="0.2"/>
  <cols>
    <col min="3" max="3" width="20.375" customWidth="1"/>
    <col min="4" max="4" width="9" customWidth="1"/>
    <col min="5" max="5" width="19" customWidth="1"/>
    <col min="6" max="7" width="15.875" style="1" customWidth="1"/>
    <col min="8" max="8" width="9" style="26"/>
    <col min="9" max="13" width="9" style="26" customWidth="1"/>
  </cols>
  <sheetData>
    <row r="1" spans="1:13" ht="10.8" thickBot="1" x14ac:dyDescent="0.25">
      <c r="H1" s="36">
        <f>SUBTOTAL(109,H3:H249)</f>
        <v>0</v>
      </c>
      <c r="I1" s="36">
        <f>SUBTOTAL(109,I3:I249)</f>
        <v>0</v>
      </c>
      <c r="J1" s="36">
        <f>SUBTOTAL(109,J3:J249)</f>
        <v>0</v>
      </c>
      <c r="K1" s="36">
        <f>SUBTOTAL(109,K3:K249)</f>
        <v>0</v>
      </c>
      <c r="L1" s="36">
        <f>SUBTOTAL(109,L3:L249)</f>
        <v>0</v>
      </c>
      <c r="M1" s="36">
        <f>K1-L1</f>
        <v>0</v>
      </c>
    </row>
    <row r="2" spans="1:13" ht="14.1" customHeight="1" x14ac:dyDescent="0.2">
      <c r="A2" t="s">
        <v>103</v>
      </c>
      <c r="B2" t="s">
        <v>104</v>
      </c>
      <c r="C2" s="43" t="s">
        <v>140</v>
      </c>
      <c r="D2" t="s">
        <v>54</v>
      </c>
      <c r="E2" t="s">
        <v>0</v>
      </c>
      <c r="F2" s="27" t="s">
        <v>55</v>
      </c>
      <c r="G2" s="27" t="s">
        <v>56</v>
      </c>
      <c r="H2" s="26" t="s">
        <v>1</v>
      </c>
      <c r="I2" s="26" t="s">
        <v>57</v>
      </c>
      <c r="J2" s="26" t="s">
        <v>58</v>
      </c>
      <c r="K2" s="79" t="s">
        <v>136</v>
      </c>
      <c r="L2" s="26" t="s">
        <v>59</v>
      </c>
      <c r="M2" s="26" t="s">
        <v>60</v>
      </c>
    </row>
  </sheetData>
  <autoFilter ref="A2:M2" xr:uid="{DFAEB43C-5A35-459E-9E97-3AD510AE0183}"/>
  <phoneticPr fontId="0" type="noConversion"/>
  <conditionalFormatting sqref="M1">
    <cfRule type="expression" dxfId="5" priority="1">
      <formula>$M$1&gt;0</formula>
    </cfRule>
    <cfRule type="expression" dxfId="4" priority="2">
      <formula>$M$1&lt;=0</formula>
    </cfRule>
  </conditionalFormatting>
  <pageMargins left="0.75" right="0.75" top="1" bottom="1" header="0.5" footer="0.5"/>
  <pageSetup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19BF0-9C4E-4443-AECC-AB200F8C82B8}">
  <sheetPr codeName="Sheet19"/>
  <dimension ref="A2:E16"/>
  <sheetViews>
    <sheetView workbookViewId="0">
      <selection activeCell="A4" sqref="A4"/>
    </sheetView>
  </sheetViews>
  <sheetFormatPr defaultRowHeight="10.199999999999999" x14ac:dyDescent="0.2"/>
  <cols>
    <col min="1" max="1" width="9.625" customWidth="1"/>
  </cols>
  <sheetData>
    <row r="2" spans="1:5" ht="16.8" thickBot="1" x14ac:dyDescent="0.35">
      <c r="A2" s="28" t="s">
        <v>124</v>
      </c>
    </row>
    <row r="3" spans="1:5" ht="10.8" thickBot="1" x14ac:dyDescent="0.25">
      <c r="A3" s="43"/>
      <c r="B3" s="53">
        <f>SUM(B5:B16)</f>
        <v>0</v>
      </c>
      <c r="C3" s="53">
        <f>SUM(C5:C16)</f>
        <v>0</v>
      </c>
      <c r="D3" s="53">
        <f>SUM(D5:D16)</f>
        <v>0</v>
      </c>
      <c r="E3" s="53">
        <f>SUM(E5:E16)</f>
        <v>0</v>
      </c>
    </row>
    <row r="4" spans="1:5" ht="10.8" thickBot="1" x14ac:dyDescent="0.25">
      <c r="A4" s="43"/>
      <c r="B4" s="80" t="s">
        <v>57</v>
      </c>
      <c r="C4" s="80" t="s">
        <v>136</v>
      </c>
      <c r="D4" s="80" t="s">
        <v>59</v>
      </c>
      <c r="E4" s="80" t="s">
        <v>60</v>
      </c>
    </row>
    <row r="5" spans="1:5" x14ac:dyDescent="0.2">
      <c r="A5" s="81" t="s">
        <v>123</v>
      </c>
      <c r="B5" s="82">
        <f>mth01Charge</f>
        <v>0</v>
      </c>
      <c r="C5" s="82">
        <f>mth01Invoiced</f>
        <v>0</v>
      </c>
      <c r="D5" s="82">
        <f>mth01Received</f>
        <v>0</v>
      </c>
      <c r="E5" s="82">
        <f>mth01Due</f>
        <v>0</v>
      </c>
    </row>
    <row r="6" spans="1:5" x14ac:dyDescent="0.2">
      <c r="A6" s="83" t="s">
        <v>125</v>
      </c>
      <c r="B6" s="84">
        <f>mth02Charge</f>
        <v>0</v>
      </c>
      <c r="C6" s="84">
        <f>mth02Invoiced</f>
        <v>0</v>
      </c>
      <c r="D6" s="84">
        <f>mth02Received</f>
        <v>0</v>
      </c>
      <c r="E6" s="84">
        <f>mth02Due</f>
        <v>0</v>
      </c>
    </row>
    <row r="7" spans="1:5" x14ac:dyDescent="0.2">
      <c r="A7" s="81" t="s">
        <v>126</v>
      </c>
      <c r="B7" s="82">
        <f>mth03Charge</f>
        <v>0</v>
      </c>
      <c r="C7" s="82">
        <f>mth03Invoiced</f>
        <v>0</v>
      </c>
      <c r="D7" s="82">
        <f>mth03Received</f>
        <v>0</v>
      </c>
      <c r="E7" s="82">
        <f>mth03Due</f>
        <v>0</v>
      </c>
    </row>
    <row r="8" spans="1:5" x14ac:dyDescent="0.2">
      <c r="A8" s="83" t="s">
        <v>127</v>
      </c>
      <c r="B8" s="84">
        <f>mth04Charge</f>
        <v>0</v>
      </c>
      <c r="C8" s="84">
        <f>mth04Invoiced</f>
        <v>0</v>
      </c>
      <c r="D8" s="84">
        <f>mth04Received</f>
        <v>0</v>
      </c>
      <c r="E8" s="84">
        <f>mth04Due</f>
        <v>0</v>
      </c>
    </row>
    <row r="9" spans="1:5" x14ac:dyDescent="0.2">
      <c r="A9" s="81" t="s">
        <v>128</v>
      </c>
      <c r="B9" s="82">
        <f>mth05Charge</f>
        <v>0</v>
      </c>
      <c r="C9" s="82">
        <f>mth05Invoiced</f>
        <v>0</v>
      </c>
      <c r="D9" s="82">
        <f>mth05Received</f>
        <v>0</v>
      </c>
      <c r="E9" s="82">
        <f>mth05Due</f>
        <v>0</v>
      </c>
    </row>
    <row r="10" spans="1:5" x14ac:dyDescent="0.2">
      <c r="A10" s="83" t="s">
        <v>129</v>
      </c>
      <c r="B10" s="84">
        <f>mth06Charge</f>
        <v>0</v>
      </c>
      <c r="C10" s="84">
        <f>mth06Invoiced</f>
        <v>0</v>
      </c>
      <c r="D10" s="84">
        <f>mth06Received</f>
        <v>0</v>
      </c>
      <c r="E10" s="84">
        <f>mth06Due</f>
        <v>0</v>
      </c>
    </row>
    <row r="11" spans="1:5" x14ac:dyDescent="0.2">
      <c r="A11" s="81" t="s">
        <v>130</v>
      </c>
      <c r="B11" s="82">
        <f>mth07Charge</f>
        <v>0</v>
      </c>
      <c r="C11" s="82">
        <f>mth07Invoiced</f>
        <v>0</v>
      </c>
      <c r="D11" s="82">
        <f>mth07Received</f>
        <v>0</v>
      </c>
      <c r="E11" s="82">
        <f>mth07Due</f>
        <v>0</v>
      </c>
    </row>
    <row r="12" spans="1:5" x14ac:dyDescent="0.2">
      <c r="A12" s="83" t="s">
        <v>131</v>
      </c>
      <c r="B12" s="84">
        <f>mth08Charge</f>
        <v>0</v>
      </c>
      <c r="C12" s="84">
        <f>mth08Invoiced</f>
        <v>0</v>
      </c>
      <c r="D12" s="84">
        <f>mth08Received</f>
        <v>0</v>
      </c>
      <c r="E12" s="84">
        <f>mth08Due</f>
        <v>0</v>
      </c>
    </row>
    <row r="13" spans="1:5" x14ac:dyDescent="0.2">
      <c r="A13" s="81" t="s">
        <v>132</v>
      </c>
      <c r="B13" s="82">
        <f>mth09Charge</f>
        <v>0</v>
      </c>
      <c r="C13" s="82">
        <f>mth09Invoiced</f>
        <v>0</v>
      </c>
      <c r="D13" s="82">
        <f>mth09Received</f>
        <v>0</v>
      </c>
      <c r="E13" s="82">
        <f>mth09Due</f>
        <v>0</v>
      </c>
    </row>
    <row r="14" spans="1:5" x14ac:dyDescent="0.2">
      <c r="A14" s="83" t="s">
        <v>133</v>
      </c>
      <c r="B14" s="84">
        <f>mth10Charge</f>
        <v>0</v>
      </c>
      <c r="C14" s="84">
        <f>mth10Invoiced</f>
        <v>0</v>
      </c>
      <c r="D14" s="84">
        <f>mth10Received</f>
        <v>0</v>
      </c>
      <c r="E14" s="84">
        <f>mth10Due</f>
        <v>0</v>
      </c>
    </row>
    <row r="15" spans="1:5" x14ac:dyDescent="0.2">
      <c r="A15" s="81" t="s">
        <v>134</v>
      </c>
      <c r="B15" s="82">
        <f>mth11Charge</f>
        <v>0</v>
      </c>
      <c r="C15" s="82">
        <f>mth11Invoiced</f>
        <v>0</v>
      </c>
      <c r="D15" s="82">
        <f>mth11Received</f>
        <v>0</v>
      </c>
      <c r="E15" s="82">
        <f>mth11Due</f>
        <v>0</v>
      </c>
    </row>
    <row r="16" spans="1:5" x14ac:dyDescent="0.2">
      <c r="A16" s="83" t="s">
        <v>135</v>
      </c>
      <c r="B16" s="84">
        <f>mth12Charge</f>
        <v>0</v>
      </c>
      <c r="C16" s="84">
        <f>mth12Invoiced</f>
        <v>0</v>
      </c>
      <c r="D16" s="84">
        <f>mth12Received</f>
        <v>0</v>
      </c>
      <c r="E16" s="84">
        <f>mth12Due</f>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65C45-E107-427E-B960-3836A3C528A1}">
  <sheetPr codeName="Sheet20">
    <pageSetUpPr fitToPage="1"/>
  </sheetPr>
  <dimension ref="A1:K8"/>
  <sheetViews>
    <sheetView workbookViewId="0"/>
  </sheetViews>
  <sheetFormatPr defaultColWidth="9.125" defaultRowHeight="10.199999999999999" x14ac:dyDescent="0.2"/>
  <cols>
    <col min="1" max="1" width="11.875" style="91" customWidth="1"/>
    <col min="2" max="5" width="9.125" style="91"/>
    <col min="6" max="7" width="17.75" style="91" customWidth="1"/>
    <col min="8" max="8" width="3.75" style="91" customWidth="1"/>
    <col min="9" max="10" width="9" style="91" customWidth="1"/>
    <col min="11" max="11" width="34.375" style="91" hidden="1" customWidth="1"/>
    <col min="12" max="16384" width="9.125" style="91"/>
  </cols>
  <sheetData>
    <row r="1" spans="1:11" ht="22.2" x14ac:dyDescent="0.35">
      <c r="A1" s="90" t="str">
        <f>configInvoiceName</f>
        <v>Free Agent</v>
      </c>
    </row>
    <row r="2" spans="1:11" ht="16.2" x14ac:dyDescent="0.25">
      <c r="A2" s="92" t="s">
        <v>138</v>
      </c>
    </row>
    <row r="3" spans="1:11" ht="17.399999999999999" x14ac:dyDescent="0.3">
      <c r="A3" s="93"/>
    </row>
    <row r="4" spans="1:11" ht="10.8" thickBot="1" x14ac:dyDescent="0.25">
      <c r="A4" s="94" t="s">
        <v>137</v>
      </c>
      <c r="B4" s="94"/>
    </row>
    <row r="5" spans="1:11" ht="10.8" thickBot="1" x14ac:dyDescent="0.25">
      <c r="I5" s="95">
        <f ca="1">SUM(logReportMHFirst:INDIRECT(logReportMHLast))</f>
        <v>0</v>
      </c>
      <c r="J5" s="95">
        <f ca="1">SUM(logReportChargeFirst:INDIRECT(logReportChargeLast))</f>
        <v>0</v>
      </c>
    </row>
    <row r="6" spans="1:11" ht="10.8" thickBot="1" x14ac:dyDescent="0.25">
      <c r="A6" s="96" t="s">
        <v>54</v>
      </c>
      <c r="B6" s="96" t="s">
        <v>0</v>
      </c>
      <c r="C6" s="96"/>
      <c r="D6" s="96"/>
      <c r="E6" s="96"/>
      <c r="F6" s="96" t="s">
        <v>55</v>
      </c>
      <c r="G6" s="96" t="s">
        <v>56</v>
      </c>
      <c r="H6" s="96"/>
      <c r="I6" s="97" t="s">
        <v>1</v>
      </c>
      <c r="J6" s="97" t="s">
        <v>58</v>
      </c>
    </row>
    <row r="7" spans="1:11" s="102" customFormat="1" ht="10.8" thickBot="1" x14ac:dyDescent="0.25">
      <c r="A7" s="98"/>
      <c r="B7" s="120"/>
      <c r="C7" s="120"/>
      <c r="D7" s="120"/>
      <c r="E7" s="120"/>
      <c r="F7" s="99"/>
      <c r="G7" s="99"/>
      <c r="H7" s="100"/>
      <c r="I7" s="100">
        <v>0</v>
      </c>
      <c r="J7" s="100">
        <f>configHourlyRate*I7</f>
        <v>0</v>
      </c>
      <c r="K7" s="101"/>
    </row>
    <row r="8" spans="1:11" hidden="1" x14ac:dyDescent="0.2">
      <c r="I8" s="103" t="str">
        <f>ADDRESS(ROW(),COLUMN(),4)</f>
        <v>I8</v>
      </c>
      <c r="J8" s="103" t="str">
        <f>ADDRESS(ROW(),COLUMN(),4)</f>
        <v>J8</v>
      </c>
    </row>
  </sheetData>
  <mergeCells count="1">
    <mergeCell ref="B7:E7"/>
  </mergeCells>
  <printOptions horizontalCentered="1"/>
  <pageMargins left="0.7" right="0.7" top="0.75" bottom="0.75" header="0.3" footer="0.3"/>
  <pageSetup scale="93" fitToHeight="0" orientation="portrait" r:id="rId1"/>
  <headerFooter>
    <oddFooter>Page &amp;P of &amp;N</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pageSetUpPr fitToPage="1"/>
  </sheetPr>
  <dimension ref="A1:K19"/>
  <sheetViews>
    <sheetView workbookViewId="0">
      <selection activeCell="A4" sqref="A4"/>
    </sheetView>
  </sheetViews>
  <sheetFormatPr defaultRowHeight="10.199999999999999" x14ac:dyDescent="0.2"/>
  <cols>
    <col min="1" max="1" width="12.125" customWidth="1"/>
    <col min="2" max="2" width="11.875" customWidth="1"/>
    <col min="4" max="4" width="4.625" customWidth="1"/>
    <col min="5" max="5" width="10.25" customWidth="1"/>
    <col min="7" max="7" width="10.625" customWidth="1"/>
    <col min="8" max="8" width="4.625" customWidth="1"/>
    <col min="9" max="9" width="12.625" customWidth="1"/>
    <col min="10" max="10" width="12.75" customWidth="1"/>
    <col min="11" max="11" width="31" hidden="1" customWidth="1"/>
  </cols>
  <sheetData>
    <row r="1" spans="1:11" ht="33.6" x14ac:dyDescent="0.65">
      <c r="A1" s="54" t="s">
        <v>139</v>
      </c>
    </row>
    <row r="2" spans="1:11" ht="12.6" x14ac:dyDescent="0.2">
      <c r="A2" s="55" t="str">
        <f>configInvoiceName</f>
        <v>Free Agent</v>
      </c>
    </row>
    <row r="3" spans="1:11" ht="20.399999999999999" customHeight="1" x14ac:dyDescent="0.2">
      <c r="A3" s="121" t="str">
        <f>configInvoiceAddress</f>
        <v>123 Main Ave. Suite 45
Smalltown, ST. 99999</v>
      </c>
      <c r="B3" s="122"/>
      <c r="C3" s="122"/>
      <c r="D3" s="122"/>
      <c r="E3" s="122"/>
      <c r="F3" s="122"/>
      <c r="G3" s="122"/>
    </row>
    <row r="4" spans="1:11" ht="10.8" thickBot="1" x14ac:dyDescent="0.25"/>
    <row r="5" spans="1:11" ht="12.9" customHeight="1" x14ac:dyDescent="0.2">
      <c r="A5" s="66" t="s">
        <v>96</v>
      </c>
      <c r="B5" s="67"/>
      <c r="C5" s="68"/>
      <c r="E5" s="66" t="s">
        <v>97</v>
      </c>
      <c r="F5" s="67"/>
      <c r="G5" s="68"/>
      <c r="I5" s="56" t="s">
        <v>98</v>
      </c>
      <c r="J5" s="57"/>
    </row>
    <row r="6" spans="1:11" ht="12.9" customHeight="1" x14ac:dyDescent="0.2">
      <c r="A6" s="69"/>
      <c r="B6" s="60"/>
      <c r="C6" s="70"/>
      <c r="E6" s="69"/>
      <c r="F6" s="60"/>
      <c r="G6" s="70"/>
      <c r="I6" s="56" t="s">
        <v>99</v>
      </c>
      <c r="J6" s="58"/>
    </row>
    <row r="7" spans="1:11" ht="12.9" customHeight="1" x14ac:dyDescent="0.2">
      <c r="A7" s="71"/>
      <c r="B7" s="61"/>
      <c r="C7" s="72"/>
      <c r="E7" s="71"/>
      <c r="F7" s="61"/>
      <c r="G7" s="72"/>
      <c r="I7" s="56" t="s">
        <v>54</v>
      </c>
      <c r="J7" s="105"/>
    </row>
    <row r="8" spans="1:11" ht="12.9" customHeight="1" x14ac:dyDescent="0.2">
      <c r="A8" s="71"/>
      <c r="B8" s="61"/>
      <c r="C8" s="72"/>
      <c r="E8" s="71"/>
      <c r="F8" s="61"/>
      <c r="G8" s="72"/>
      <c r="I8" s="56" t="s">
        <v>100</v>
      </c>
      <c r="J8" s="59"/>
      <c r="K8" s="43"/>
    </row>
    <row r="9" spans="1:11" ht="12.9" customHeight="1" thickBot="1" x14ac:dyDescent="0.25">
      <c r="A9" s="73"/>
      <c r="B9" s="74"/>
      <c r="C9" s="75"/>
      <c r="E9" s="73"/>
      <c r="F9" s="74"/>
      <c r="G9" s="75"/>
    </row>
    <row r="10" spans="1:11" ht="10.8" thickBot="1" x14ac:dyDescent="0.25"/>
    <row r="11" spans="1:11" x14ac:dyDescent="0.2">
      <c r="A11" s="88" t="s">
        <v>42</v>
      </c>
      <c r="B11" s="85" t="s">
        <v>54</v>
      </c>
      <c r="C11" s="85" t="s">
        <v>0</v>
      </c>
      <c r="D11" s="85"/>
      <c r="E11" s="85"/>
      <c r="F11" s="85"/>
      <c r="G11" s="85" t="s">
        <v>101</v>
      </c>
      <c r="H11" s="85"/>
      <c r="I11" s="89" t="s">
        <v>102</v>
      </c>
      <c r="J11" s="85" t="s">
        <v>58</v>
      </c>
    </row>
    <row r="12" spans="1:11" s="86" customFormat="1" ht="10.8" thickBot="1" x14ac:dyDescent="0.25">
      <c r="A12" s="110"/>
      <c r="B12" s="111"/>
      <c r="C12" s="123"/>
      <c r="D12" s="123"/>
      <c r="E12" s="123"/>
      <c r="F12" s="123"/>
      <c r="G12" s="112"/>
      <c r="H12" s="112"/>
      <c r="I12" s="112"/>
      <c r="J12" s="112"/>
      <c r="K12" s="87" t="s">
        <v>153</v>
      </c>
    </row>
    <row r="13" spans="1:11" x14ac:dyDescent="0.2">
      <c r="A13" s="61"/>
      <c r="B13" s="61"/>
      <c r="C13" s="61"/>
      <c r="D13" s="61"/>
      <c r="E13" s="61"/>
      <c r="F13" s="61"/>
      <c r="G13" s="61"/>
      <c r="H13" s="61"/>
      <c r="I13" s="61"/>
      <c r="J13" s="61"/>
    </row>
    <row r="14" spans="1:11" x14ac:dyDescent="0.2">
      <c r="F14" s="56" t="s">
        <v>109</v>
      </c>
      <c r="G14" s="63">
        <f>SUM(G11:G12)</f>
        <v>0</v>
      </c>
      <c r="I14" s="56" t="s">
        <v>105</v>
      </c>
      <c r="J14" s="63">
        <f>SUM(J11:J12)</f>
        <v>0</v>
      </c>
    </row>
    <row r="16" spans="1:11" x14ac:dyDescent="0.2">
      <c r="F16" s="62"/>
      <c r="G16" s="43" t="s">
        <v>106</v>
      </c>
    </row>
    <row r="17" spans="6:7" x14ac:dyDescent="0.2">
      <c r="F17" s="62"/>
    </row>
    <row r="18" spans="6:7" x14ac:dyDescent="0.2">
      <c r="F18" s="64"/>
      <c r="G18" s="43" t="s">
        <v>107</v>
      </c>
    </row>
    <row r="19" spans="6:7" ht="47.4" x14ac:dyDescent="0.95">
      <c r="F19" s="65" t="s">
        <v>108</v>
      </c>
    </row>
  </sheetData>
  <mergeCells count="2">
    <mergeCell ref="A3:G3"/>
    <mergeCell ref="C12:F12"/>
  </mergeCells>
  <printOptions horizontalCentered="1"/>
  <pageMargins left="0.7" right="0.7" top="0.75" bottom="0.75" header="0.3" footer="0.3"/>
  <pageSetup scale="92" fitToHeight="0" orientation="portrait" r:id="rId1"/>
  <headerFooter>
    <oddFooter>Page &amp;P of &amp;N</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3A61D1-F637-46E7-A804-63C2B91211B4}">
  <sheetPr codeName="Sheet18"/>
  <dimension ref="A1:G1"/>
  <sheetViews>
    <sheetView workbookViewId="0">
      <pane ySplit="1" topLeftCell="A2" activePane="bottomLeft" state="frozen"/>
      <selection pane="bottomLeft" activeCell="A2" sqref="A2"/>
    </sheetView>
  </sheetViews>
  <sheetFormatPr defaultRowHeight="10.199999999999999" x14ac:dyDescent="0.2"/>
  <cols>
    <col min="2" max="2" width="23.375" bestFit="1" customWidth="1"/>
    <col min="3" max="3" width="29.25" bestFit="1" customWidth="1"/>
    <col min="4" max="4" width="24" bestFit="1" customWidth="1"/>
    <col min="5" max="5" width="23.375" bestFit="1" customWidth="1"/>
    <col min="6" max="6" width="29.25" bestFit="1" customWidth="1"/>
    <col min="7" max="7" width="24" bestFit="1" customWidth="1"/>
  </cols>
  <sheetData>
    <row r="1" spans="1:7" x14ac:dyDescent="0.2">
      <c r="A1" s="43" t="s">
        <v>118</v>
      </c>
      <c r="B1" s="43" t="s">
        <v>112</v>
      </c>
      <c r="C1" s="43" t="s">
        <v>113</v>
      </c>
      <c r="D1" s="43" t="s">
        <v>114</v>
      </c>
      <c r="E1" s="43" t="s">
        <v>115</v>
      </c>
      <c r="F1" s="43" t="s">
        <v>116</v>
      </c>
      <c r="G1" s="43" t="s">
        <v>117</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05B24-F7BE-4D08-B65D-D86FEB321CEF}">
  <sheetPr codeName="Sheet21"/>
  <dimension ref="A1:E2"/>
  <sheetViews>
    <sheetView workbookViewId="0">
      <pane ySplit="1" topLeftCell="A2" activePane="bottomLeft" state="frozen"/>
      <selection pane="bottomLeft" activeCell="A2" sqref="A2"/>
    </sheetView>
  </sheetViews>
  <sheetFormatPr defaultRowHeight="10.199999999999999" x14ac:dyDescent="0.2"/>
  <cols>
    <col min="1" max="1" width="11" customWidth="1"/>
    <col min="2" max="2" width="25.625" customWidth="1"/>
    <col min="3" max="3" width="11.375" style="26" customWidth="1"/>
    <col min="4" max="4" width="9" style="26"/>
    <col min="5" max="5" width="24.75" style="104" hidden="1" customWidth="1"/>
  </cols>
  <sheetData>
    <row r="1" spans="1:5" x14ac:dyDescent="0.2">
      <c r="A1" t="s">
        <v>141</v>
      </c>
      <c r="B1" t="s">
        <v>140</v>
      </c>
      <c r="C1" s="79" t="s">
        <v>143</v>
      </c>
      <c r="D1" s="26" t="s">
        <v>67</v>
      </c>
      <c r="E1" s="81" t="s">
        <v>142</v>
      </c>
    </row>
    <row r="2" spans="1:5" x14ac:dyDescent="0.2">
      <c r="B2" s="43"/>
    </row>
  </sheetData>
  <dataValidations count="1">
    <dataValidation type="list" allowBlank="1" showInputMessage="1" showErrorMessage="1" sqref="A2" xr:uid="{7A8E563F-9BD4-42C2-96C9-7C807CD795B4}">
      <formula1>Contacts_Code</formula1>
    </dataValidation>
  </dataValidations>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E2"/>
  <sheetViews>
    <sheetView workbookViewId="0">
      <pane ySplit="2" topLeftCell="A3" activePane="bottomLeft" state="frozen"/>
      <selection pane="bottomLeft" activeCell="A3" sqref="A3"/>
    </sheetView>
  </sheetViews>
  <sheetFormatPr defaultRowHeight="10.199999999999999" x14ac:dyDescent="0.2"/>
  <cols>
    <col min="1" max="1" width="10.25" style="15" bestFit="1" customWidth="1"/>
    <col min="2" max="2" width="13.875" style="16" bestFit="1" customWidth="1"/>
    <col min="3" max="3" width="5.75" bestFit="1" customWidth="1"/>
    <col min="4" max="4" width="13.375" bestFit="1" customWidth="1"/>
  </cols>
  <sheetData>
    <row r="1" spans="1:5" x14ac:dyDescent="0.2">
      <c r="C1">
        <f>SUBTOTAL(109,C3:C1000)</f>
        <v>0</v>
      </c>
    </row>
    <row r="2" spans="1:5" x14ac:dyDescent="0.2">
      <c r="A2" s="15" t="s">
        <v>42</v>
      </c>
      <c r="B2" s="16" t="s">
        <v>43</v>
      </c>
      <c r="C2" t="s">
        <v>45</v>
      </c>
      <c r="D2" t="s">
        <v>46</v>
      </c>
      <c r="E2" t="s">
        <v>44</v>
      </c>
    </row>
  </sheetData>
  <autoFilter ref="A2:E6" xr:uid="{00000000-0009-0000-0000-000010000000}"/>
  <phoneticPr fontId="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78</vt:i4>
      </vt:variant>
    </vt:vector>
  </HeadingPairs>
  <TitlesOfParts>
    <vt:vector size="99" baseType="lpstr">
      <vt:lpstr>Config</vt:lpstr>
      <vt:lpstr>Work</vt:lpstr>
      <vt:lpstr>Timesheet</vt:lpstr>
      <vt:lpstr>01</vt:lpstr>
      <vt:lpstr>02</vt:lpstr>
      <vt:lpstr>03</vt:lpstr>
      <vt:lpstr>04</vt:lpstr>
      <vt:lpstr>05</vt:lpstr>
      <vt:lpstr>06</vt:lpstr>
      <vt:lpstr>07</vt:lpstr>
      <vt:lpstr>08</vt:lpstr>
      <vt:lpstr>09</vt:lpstr>
      <vt:lpstr>10</vt:lpstr>
      <vt:lpstr>11</vt:lpstr>
      <vt:lpstr>12</vt:lpstr>
      <vt:lpstr>Summary</vt:lpstr>
      <vt:lpstr>LogReport</vt:lpstr>
      <vt:lpstr>ServiceInvoice</vt:lpstr>
      <vt:lpstr>Contacts</vt:lpstr>
      <vt:lpstr>Services</vt:lpstr>
      <vt:lpstr>Training</vt:lpstr>
      <vt:lpstr>configCommission</vt:lpstr>
      <vt:lpstr>configHourlyRate</vt:lpstr>
      <vt:lpstr>configInvoiceAddress</vt:lpstr>
      <vt:lpstr>configInvoiceName</vt:lpstr>
      <vt:lpstr>configLastInvoice</vt:lpstr>
      <vt:lpstr>configTimeFormat</vt:lpstr>
      <vt:lpstr>Contacts_Code</vt:lpstr>
      <vt:lpstr>logReportChargeFirst</vt:lpstr>
      <vt:lpstr>logReportChargeLast</vt:lpstr>
      <vt:lpstr>logReportFilter</vt:lpstr>
      <vt:lpstr>logReportFooterRow</vt:lpstr>
      <vt:lpstr>logReportHeaderRow</vt:lpstr>
      <vt:lpstr>logReportMHFirst</vt:lpstr>
      <vt:lpstr>logReportMHLast</vt:lpstr>
      <vt:lpstr>logReportTitle</vt:lpstr>
      <vt:lpstr>mth01Charge</vt:lpstr>
      <vt:lpstr>mth01Due</vt:lpstr>
      <vt:lpstr>mth01Invoiced</vt:lpstr>
      <vt:lpstr>mth01Received</vt:lpstr>
      <vt:lpstr>mth02Charge</vt:lpstr>
      <vt:lpstr>mth02Due</vt:lpstr>
      <vt:lpstr>mth02Invoiced</vt:lpstr>
      <vt:lpstr>mth02Received</vt:lpstr>
      <vt:lpstr>mth03Charge</vt:lpstr>
      <vt:lpstr>mth03Due</vt:lpstr>
      <vt:lpstr>mth03Invoiced</vt:lpstr>
      <vt:lpstr>mth03Received</vt:lpstr>
      <vt:lpstr>mth04Charge</vt:lpstr>
      <vt:lpstr>mth04Due</vt:lpstr>
      <vt:lpstr>mth04Invoiced</vt:lpstr>
      <vt:lpstr>mth04Received</vt:lpstr>
      <vt:lpstr>mth05Charge</vt:lpstr>
      <vt:lpstr>mth05Due</vt:lpstr>
      <vt:lpstr>mth05Invoiced</vt:lpstr>
      <vt:lpstr>mth05Received</vt:lpstr>
      <vt:lpstr>mth06Charge</vt:lpstr>
      <vt:lpstr>mth06Due</vt:lpstr>
      <vt:lpstr>mth06Invoiced</vt:lpstr>
      <vt:lpstr>mth06Received</vt:lpstr>
      <vt:lpstr>mth07Charge</vt:lpstr>
      <vt:lpstr>mth07Due</vt:lpstr>
      <vt:lpstr>mth07Invoiced</vt:lpstr>
      <vt:lpstr>mth07Received</vt:lpstr>
      <vt:lpstr>mth08Charge</vt:lpstr>
      <vt:lpstr>mth08Due</vt:lpstr>
      <vt:lpstr>mth08Invoiced</vt:lpstr>
      <vt:lpstr>mth08Received</vt:lpstr>
      <vt:lpstr>mth09Charge</vt:lpstr>
      <vt:lpstr>mth09Due</vt:lpstr>
      <vt:lpstr>mth09Invoiced</vt:lpstr>
      <vt:lpstr>mth09Received</vt:lpstr>
      <vt:lpstr>mth10Charge</vt:lpstr>
      <vt:lpstr>mth10Due</vt:lpstr>
      <vt:lpstr>mth10Invoiced</vt:lpstr>
      <vt:lpstr>mth10Received</vt:lpstr>
      <vt:lpstr>mth11Charge</vt:lpstr>
      <vt:lpstr>mth11Due</vt:lpstr>
      <vt:lpstr>mth11Invoiced</vt:lpstr>
      <vt:lpstr>mth11Received</vt:lpstr>
      <vt:lpstr>mth12Charge</vt:lpstr>
      <vt:lpstr>mth12Due</vt:lpstr>
      <vt:lpstr>mth12Invoiced</vt:lpstr>
      <vt:lpstr>mth12Received</vt:lpstr>
      <vt:lpstr>LogReport!Print_Titles</vt:lpstr>
      <vt:lpstr>ServiceInvoice!Print_Titles</vt:lpstr>
      <vt:lpstr>serviceInvoiceBillToAddress</vt:lpstr>
      <vt:lpstr>serviceInvoiceBillToCityStateZip</vt:lpstr>
      <vt:lpstr>serviceInvoiceBillToName</vt:lpstr>
      <vt:lpstr>serviceInvoiceDate</vt:lpstr>
      <vt:lpstr>serviceInvoiceDueDate</vt:lpstr>
      <vt:lpstr>serviceInvoiceFooterRow</vt:lpstr>
      <vt:lpstr>serviceInvoiceHeaderRow</vt:lpstr>
      <vt:lpstr>serviceInvoiceNumber</vt:lpstr>
      <vt:lpstr>serviceInvoiceProjectName</vt:lpstr>
      <vt:lpstr>serviceInvoiceShipToAddress</vt:lpstr>
      <vt:lpstr>serviceInvoiceShipToCityStateZip</vt:lpstr>
      <vt:lpstr>serviceInvoiceShipToName</vt:lpstr>
      <vt:lpstr>Services_CustomerService</vt:lpstr>
    </vt:vector>
  </TitlesOfParts>
  <Company>The Rawlins National Bank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E. Patterson</dc:creator>
  <cp:lastModifiedBy>Daniel Patterson</cp:lastModifiedBy>
  <cp:lastPrinted>2020-03-27T15:06:16Z</cp:lastPrinted>
  <dcterms:created xsi:type="dcterms:W3CDTF">2009-03-27T15:26:46Z</dcterms:created>
  <dcterms:modified xsi:type="dcterms:W3CDTF">2020-03-29T14:10:00Z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AlternateBackColor_1" visible="true" label="AlternateBackColor" imageMso="ListMacros" onAction="AlternateBackColor"/>
        <mso:button idQ="doc:CreateYear_1" visible="true" label="CreateYear" imageMso="ListMacros" onAction="CreateYear"/>
        <mso:button idQ="doc:GenerateLog_1" visible="true" label="GenerateLog" imageMso="ListMacros" onAction="GenerateLog"/>
        <mso:button idQ="doc:GenerateInvoice_1" visible="true" label="GenerateInvoice" imageMso="ListMacros" onAction="GenerateInvoice"/>
        <mso:button idQ="doc:ReceivePayment_1" visible="true" label="ReceivePayment" imageMso="ListMacros" onAction="ReceivePayment"/>
      </mso:documentControls>
    </mso:qat>
  </mso:ribbon>
</mso:customUI>
</file>